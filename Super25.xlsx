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" sheetId="1" r:id="rId5"/>
    <sheet state="visible" name="B" sheetId="2" r:id="rId6"/>
    <sheet state="visible" name="F" sheetId="3" r:id="rId7"/>
    <sheet state="visible" name="Hoja 3" sheetId="4" r:id="rId8"/>
  </sheets>
  <definedNames>
    <definedName hidden="1" localSheetId="1" name="_xlnm._FilterDatabase">B!$A$2:$M$587</definedName>
    <definedName hidden="1" localSheetId="1" name="Z_25E59EAB_FE62_41B3_ABF0_A05F886F4980_.wvu.FilterData">B!$C$2:$I$360</definedName>
    <definedName hidden="1" localSheetId="1" name="Z_915D3681_C3A7_4C40_9AFC_A07EC7AAF3AC_.wvu.FilterData">B!$C$2:$I$360</definedName>
  </definedNames>
  <calcPr/>
  <customWorkbookViews>
    <customWorkbookView activeSheetId="0" maximized="1" windowHeight="0" windowWidth="0" guid="{25E59EAB-FE62-41B3-ABF0-A05F886F4980}" name="Filter 1"/>
    <customWorkbookView activeSheetId="0" maximized="1" windowHeight="0" windowWidth="0" guid="{915D3681-C3A7-4C40-9AFC-A07EC7AAF3AC}" name="Filter 2"/>
  </customWorkbookViews>
</workbook>
</file>

<file path=xl/sharedStrings.xml><?xml version="1.0" encoding="utf-8"?>
<sst xmlns="http://schemas.openxmlformats.org/spreadsheetml/2006/main" count="1329" uniqueCount="337">
  <si>
    <t>Levadura</t>
  </si>
  <si>
    <t>Beraca</t>
  </si>
  <si>
    <t>T</t>
  </si>
  <si>
    <t>galletas vainilla</t>
  </si>
  <si>
    <t>Vea</t>
  </si>
  <si>
    <t>V</t>
  </si>
  <si>
    <t>queso</t>
  </si>
  <si>
    <t>manteca 100</t>
  </si>
  <si>
    <t>ChangoMas</t>
  </si>
  <si>
    <t>Lu</t>
  </si>
  <si>
    <t>crema leche</t>
  </si>
  <si>
    <t>queso crema 580</t>
  </si>
  <si>
    <t>salame</t>
  </si>
  <si>
    <t>es vainilla</t>
  </si>
  <si>
    <t>jamon</t>
  </si>
  <si>
    <t>limon</t>
  </si>
  <si>
    <t>crema doble</t>
  </si>
  <si>
    <t>Carrefour</t>
  </si>
  <si>
    <t>Ju</t>
  </si>
  <si>
    <t>azúcar</t>
  </si>
  <si>
    <t>MB Carniceria</t>
  </si>
  <si>
    <t>cebolla</t>
  </si>
  <si>
    <t>fecula</t>
  </si>
  <si>
    <t>Fiambrisima</t>
  </si>
  <si>
    <t>tomate</t>
  </si>
  <si>
    <t>huevos</t>
  </si>
  <si>
    <t xml:space="preserve">LaTradición </t>
  </si>
  <si>
    <t>mermelada arandanos</t>
  </si>
  <si>
    <t>Cordero</t>
  </si>
  <si>
    <t>LaPanaderia</t>
  </si>
  <si>
    <t>SanCayetano</t>
  </si>
  <si>
    <t>Shell YPF</t>
  </si>
  <si>
    <t>Farmacia</t>
  </si>
  <si>
    <t>3c</t>
  </si>
  <si>
    <t>L</t>
  </si>
  <si>
    <t>Farmar</t>
  </si>
  <si>
    <t>MiV</t>
  </si>
  <si>
    <t>stope</t>
  </si>
  <si>
    <t>Cuo</t>
  </si>
  <si>
    <t>Des</t>
  </si>
  <si>
    <t>A Pagar</t>
  </si>
  <si>
    <t>SAB</t>
  </si>
  <si>
    <t>AceiteGirsol</t>
  </si>
  <si>
    <t>Cocinero</t>
  </si>
  <si>
    <t>AceiteOliva</t>
  </si>
  <si>
    <t>Aceituna</t>
  </si>
  <si>
    <t>VEC</t>
  </si>
  <si>
    <t>Acelga</t>
  </si>
  <si>
    <t>LIM</t>
  </si>
  <si>
    <t>Desinfectante</t>
  </si>
  <si>
    <t>Lysoform</t>
  </si>
  <si>
    <t>BBD</t>
  </si>
  <si>
    <t>AguaMineral</t>
  </si>
  <si>
    <t>Benedictino</t>
  </si>
  <si>
    <t>AjoCabeza</t>
  </si>
  <si>
    <t>VER</t>
  </si>
  <si>
    <t>Albahaca</t>
  </si>
  <si>
    <t>HIG</t>
  </si>
  <si>
    <t>Alcohol</t>
  </si>
  <si>
    <t>GLS</t>
  </si>
  <si>
    <t>Alfajor</t>
  </si>
  <si>
    <t>Algodon</t>
  </si>
  <si>
    <t>MSC</t>
  </si>
  <si>
    <t>AlimentoDog</t>
  </si>
  <si>
    <t>HP</t>
  </si>
  <si>
    <t>FRU</t>
  </si>
  <si>
    <t>Anana</t>
  </si>
  <si>
    <t>Arandanos</t>
  </si>
  <si>
    <t>VRS</t>
  </si>
  <si>
    <t>Anilina</t>
  </si>
  <si>
    <t>Apio</t>
  </si>
  <si>
    <t>PAQ</t>
  </si>
  <si>
    <t>Arroz2Carol</t>
  </si>
  <si>
    <t>Luchetti</t>
  </si>
  <si>
    <t>MolinosAla</t>
  </si>
  <si>
    <t>ArrozComun</t>
  </si>
  <si>
    <t>ArrozIntegral</t>
  </si>
  <si>
    <t>Gallo</t>
  </si>
  <si>
    <t>LAT</t>
  </si>
  <si>
    <t>AtunAceite</t>
  </si>
  <si>
    <t>Oliva</t>
  </si>
  <si>
    <t>AutitoMetal</t>
  </si>
  <si>
    <t>Maisto</t>
  </si>
  <si>
    <t>AvenaInstant</t>
  </si>
  <si>
    <t>DYN</t>
  </si>
  <si>
    <t>Azucar</t>
  </si>
  <si>
    <t>C&amp;C</t>
  </si>
  <si>
    <t>banana</t>
  </si>
  <si>
    <t>Batata</t>
  </si>
  <si>
    <t>NV</t>
  </si>
  <si>
    <t>Bengala</t>
  </si>
  <si>
    <t>Bicarbonato</t>
  </si>
  <si>
    <t>Bizcochuelo</t>
  </si>
  <si>
    <t>Bolsa</t>
  </si>
  <si>
    <t>Cabo</t>
  </si>
  <si>
    <t>Escobillon</t>
  </si>
  <si>
    <t>Budin</t>
  </si>
  <si>
    <t>CafeInstan</t>
  </si>
  <si>
    <t>LaVirginia</t>
  </si>
  <si>
    <t>Dolca</t>
  </si>
  <si>
    <t>Calabaza</t>
  </si>
  <si>
    <t>CaldoVerdura</t>
  </si>
  <si>
    <t>Knnor</t>
  </si>
  <si>
    <t>Caramelos</t>
  </si>
  <si>
    <t>sugus</t>
  </si>
  <si>
    <t>Cebolla</t>
  </si>
  <si>
    <t>CepilloDental</t>
  </si>
  <si>
    <t>Chaucha</t>
  </si>
  <si>
    <t>Choclo</t>
  </si>
  <si>
    <t>ChocPastilla</t>
  </si>
  <si>
    <t>Ferrero</t>
  </si>
  <si>
    <t>ChocPolvo</t>
  </si>
  <si>
    <t>Nesquick</t>
  </si>
  <si>
    <t>ChocTableta</t>
  </si>
  <si>
    <t>Aritos</t>
  </si>
  <si>
    <t>CRN</t>
  </si>
  <si>
    <t>Chorizo</t>
  </si>
  <si>
    <t>QMorron</t>
  </si>
  <si>
    <t>Ciruela</t>
  </si>
  <si>
    <t>Gaseosa</t>
  </si>
  <si>
    <t>coca</t>
  </si>
  <si>
    <t>MirinMz</t>
  </si>
  <si>
    <t>CondAjiMolido</t>
  </si>
  <si>
    <t>albaca</t>
  </si>
  <si>
    <t>CondComino</t>
  </si>
  <si>
    <t>Canela</t>
  </si>
  <si>
    <t>CondOregano</t>
  </si>
  <si>
    <t>CondPimBlanca</t>
  </si>
  <si>
    <t>CondPimDulce</t>
  </si>
  <si>
    <t>CondPizza</t>
  </si>
  <si>
    <t>CondProvenzal</t>
  </si>
  <si>
    <t>CopaVino</t>
  </si>
  <si>
    <t>Costeleta</t>
  </si>
  <si>
    <t>Redonda</t>
  </si>
  <si>
    <t>Costilla</t>
  </si>
  <si>
    <t>CremaCorprl</t>
  </si>
  <si>
    <t>Neutrogena</t>
  </si>
  <si>
    <t>Hinds</t>
  </si>
  <si>
    <t>CremaEnjuague</t>
  </si>
  <si>
    <t>LAC</t>
  </si>
  <si>
    <t>CremaLeche</t>
  </si>
  <si>
    <t>Tregar</t>
  </si>
  <si>
    <t>C&amp;C x2</t>
  </si>
  <si>
    <t>CremaZapato</t>
  </si>
  <si>
    <t>Negro</t>
  </si>
  <si>
    <t>PAN</t>
  </si>
  <si>
    <t>ConGrasa</t>
  </si>
  <si>
    <t>Cuadril</t>
  </si>
  <si>
    <t>DentifrAdulto</t>
  </si>
  <si>
    <t>ColgLW</t>
  </si>
  <si>
    <t>Desodorante</t>
  </si>
  <si>
    <t>Dove</t>
  </si>
  <si>
    <t>DetLavaRopa</t>
  </si>
  <si>
    <t>woolite</t>
  </si>
  <si>
    <t>Skip</t>
  </si>
  <si>
    <t>Woolite</t>
  </si>
  <si>
    <t>DetLavaVajilla</t>
  </si>
  <si>
    <t>Magistral</t>
  </si>
  <si>
    <t>magistral</t>
  </si>
  <si>
    <t>DetPolvo</t>
  </si>
  <si>
    <t>Ala</t>
  </si>
  <si>
    <t>ala</t>
  </si>
  <si>
    <t>Carbon</t>
  </si>
  <si>
    <t>FRI</t>
  </si>
  <si>
    <t>DulceBatata</t>
  </si>
  <si>
    <t>DulceLeche</t>
  </si>
  <si>
    <t>DulceMembrillo</t>
  </si>
  <si>
    <t>Durazno</t>
  </si>
  <si>
    <t>DuraznoFizz</t>
  </si>
  <si>
    <t>Fresita</t>
  </si>
  <si>
    <t>EsencVainilla</t>
  </si>
  <si>
    <t>esponja</t>
  </si>
  <si>
    <t>Acero</t>
  </si>
  <si>
    <t>EspumaFoamy</t>
  </si>
  <si>
    <t>EspumaPreal</t>
  </si>
  <si>
    <t>FideoCapelle</t>
  </si>
  <si>
    <t>Lucchetti</t>
  </si>
  <si>
    <t>Giacom</t>
  </si>
  <si>
    <t>FideoLasagna</t>
  </si>
  <si>
    <t>FideoMoñito</t>
  </si>
  <si>
    <t>FideoSpaghetti</t>
  </si>
  <si>
    <t>Fosforos</t>
  </si>
  <si>
    <t>Frances</t>
  </si>
  <si>
    <t>Frutilla</t>
  </si>
  <si>
    <t>Galletas</t>
  </si>
  <si>
    <t>Frutigran</t>
  </si>
  <si>
    <t>Criollitas</t>
  </si>
  <si>
    <t>GarrapAlmen</t>
  </si>
  <si>
    <t>Gomitas</t>
  </si>
  <si>
    <t>Bananitas</t>
  </si>
  <si>
    <t>Harina</t>
  </si>
  <si>
    <t>BFlor</t>
  </si>
  <si>
    <t>MBflor</t>
  </si>
  <si>
    <t>HarpicNegr5e1</t>
  </si>
  <si>
    <t>Helado</t>
  </si>
  <si>
    <t>FCI</t>
  </si>
  <si>
    <t>Hepatalgina</t>
  </si>
  <si>
    <t>Blando</t>
  </si>
  <si>
    <t>RBeef</t>
  </si>
  <si>
    <t>BolaLomo</t>
  </si>
  <si>
    <t>Higado</t>
  </si>
  <si>
    <t>Hisopos</t>
  </si>
  <si>
    <t>Huevito</t>
  </si>
  <si>
    <t>Huevos</t>
  </si>
  <si>
    <t>Blanco</t>
  </si>
  <si>
    <t>InsectMosquits</t>
  </si>
  <si>
    <t>RaidMosq</t>
  </si>
  <si>
    <t>JabonBlanco</t>
  </si>
  <si>
    <t>JabonLiqManos</t>
  </si>
  <si>
    <t>JamonCocido</t>
  </si>
  <si>
    <t>Don10</t>
  </si>
  <si>
    <t>JarraVidrio</t>
  </si>
  <si>
    <t>JavonTocador</t>
  </si>
  <si>
    <t>Jenjibre</t>
  </si>
  <si>
    <t>Cerveza</t>
  </si>
  <si>
    <t>Stella</t>
  </si>
  <si>
    <t>Ketchup</t>
  </si>
  <si>
    <t>Hellmans</t>
  </si>
  <si>
    <t>Lampara9w</t>
  </si>
  <si>
    <t>Lampazo</t>
  </si>
  <si>
    <t>Poet Lavanda</t>
  </si>
  <si>
    <t>LanaAcero</t>
  </si>
  <si>
    <t>LataAnana</t>
  </si>
  <si>
    <t>LataArveja</t>
  </si>
  <si>
    <t>LataDurazno</t>
  </si>
  <si>
    <t>Tarragona</t>
  </si>
  <si>
    <t>LataTomate</t>
  </si>
  <si>
    <t>ArcCub</t>
  </si>
  <si>
    <t>Lavandina</t>
  </si>
  <si>
    <t>LavavajillaTd1</t>
  </si>
  <si>
    <t>Sun16Tab</t>
  </si>
  <si>
    <t>Leche</t>
  </si>
  <si>
    <t>LS Sachet</t>
  </si>
  <si>
    <t>LS caja</t>
  </si>
  <si>
    <t>LecheDeslacto</t>
  </si>
  <si>
    <t>Descremada</t>
  </si>
  <si>
    <t>LechuCresp</t>
  </si>
  <si>
    <t>Limon</t>
  </si>
  <si>
    <t>Lustramueble</t>
  </si>
  <si>
    <t>MaizBlanco</t>
  </si>
  <si>
    <t>Malta</t>
  </si>
  <si>
    <t>Arlistan</t>
  </si>
  <si>
    <t>Manteca</t>
  </si>
  <si>
    <t>LaPaulina</t>
  </si>
  <si>
    <t>Manzana</t>
  </si>
  <si>
    <t>Mayonesa</t>
  </si>
  <si>
    <t>Natura</t>
  </si>
  <si>
    <t>Tortillitas</t>
  </si>
  <si>
    <t>MermelDurzno</t>
  </si>
  <si>
    <t>Miel</t>
  </si>
  <si>
    <t>Morcilla</t>
  </si>
  <si>
    <t>Naranja</t>
  </si>
  <si>
    <t>MatambreCerdo</t>
  </si>
  <si>
    <t>NuezMoscada</t>
  </si>
  <si>
    <t>Opera</t>
  </si>
  <si>
    <t>GalletasChoc</t>
  </si>
  <si>
    <t>Rumba</t>
  </si>
  <si>
    <t>pepitos</t>
  </si>
  <si>
    <t>Palillos</t>
  </si>
  <si>
    <t>PalitoSalado</t>
  </si>
  <si>
    <t>PapasFritas</t>
  </si>
  <si>
    <t>Palta</t>
  </si>
  <si>
    <t>Papablanca</t>
  </si>
  <si>
    <t>PapelHigienico</t>
  </si>
  <si>
    <t>chek</t>
  </si>
  <si>
    <t>PasaUva</t>
  </si>
  <si>
    <t>PastaManiKing</t>
  </si>
  <si>
    <t>Pepas</t>
  </si>
  <si>
    <t>Pepino</t>
  </si>
  <si>
    <t>Pepitos</t>
  </si>
  <si>
    <t>PeraWilliams</t>
  </si>
  <si>
    <t>Perejil</t>
  </si>
  <si>
    <t>PilaAAA</t>
  </si>
  <si>
    <t>Pimiento</t>
  </si>
  <si>
    <t>PiononoDulce</t>
  </si>
  <si>
    <t>Polenta</t>
  </si>
  <si>
    <t>Egran</t>
  </si>
  <si>
    <t>PolyceraRojo</t>
  </si>
  <si>
    <t>PorotoAlubia</t>
  </si>
  <si>
    <t>QuesoCremon</t>
  </si>
  <si>
    <t>QuesoDambo</t>
  </si>
  <si>
    <t>QuesoMozzare</t>
  </si>
  <si>
    <t>QuesoPatgrs</t>
  </si>
  <si>
    <t>tybo</t>
  </si>
  <si>
    <t>QuesoPortsalut</t>
  </si>
  <si>
    <t>QuesoDuro</t>
  </si>
  <si>
    <t>Goya</t>
  </si>
  <si>
    <t>RepGillMtch3</t>
  </si>
  <si>
    <t>RolloCocina</t>
  </si>
  <si>
    <t>Ali</t>
  </si>
  <si>
    <t>Remolacha</t>
  </si>
  <si>
    <t>SalvadoDoble</t>
  </si>
  <si>
    <t>Salchicha</t>
  </si>
  <si>
    <t>Swift</t>
  </si>
  <si>
    <t>Swift x2</t>
  </si>
  <si>
    <t>SalFina</t>
  </si>
  <si>
    <t>DosA</t>
  </si>
  <si>
    <t>SalGruesa</t>
  </si>
  <si>
    <t>SalsaPizza</t>
  </si>
  <si>
    <t>Secapiso</t>
  </si>
  <si>
    <t>ShamFructOil3</t>
  </si>
  <si>
    <t>ShamPlusbMnz</t>
  </si>
  <si>
    <t>Soda</t>
  </si>
  <si>
    <t>TapaEmpanada</t>
  </si>
  <si>
    <t>TapaPascualina</t>
  </si>
  <si>
    <t>Te</t>
  </si>
  <si>
    <t>TeBldoCdrn</t>
  </si>
  <si>
    <t>Menta</t>
  </si>
  <si>
    <t>verde</t>
  </si>
  <si>
    <t>TeMnzllTilo</t>
  </si>
  <si>
    <t>TomatCherry</t>
  </si>
  <si>
    <t>Tomate</t>
  </si>
  <si>
    <t>TrigoBurgol</t>
  </si>
  <si>
    <t>TrigoPelado</t>
  </si>
  <si>
    <t>TurronAlmndr</t>
  </si>
  <si>
    <t>TurronMani</t>
  </si>
  <si>
    <t>Uva</t>
  </si>
  <si>
    <t>SalvadoBarra</t>
  </si>
  <si>
    <t>Vainillas</t>
  </si>
  <si>
    <t>Vaso</t>
  </si>
  <si>
    <t>VMalbec</t>
  </si>
  <si>
    <t>FCave</t>
  </si>
  <si>
    <t>VSyra</t>
  </si>
  <si>
    <t>LuigiBosca</t>
  </si>
  <si>
    <t>VelaParafina</t>
  </si>
  <si>
    <t>VCSauvignon</t>
  </si>
  <si>
    <t>VinagreManzana</t>
  </si>
  <si>
    <t>Vitapirena</t>
  </si>
  <si>
    <t>VCFranc</t>
  </si>
  <si>
    <t>YerbaMSaq</t>
  </si>
  <si>
    <t>taragui</t>
  </si>
  <si>
    <t>QuesoUnta</t>
  </si>
  <si>
    <t>LS</t>
  </si>
  <si>
    <t>YogurPote</t>
  </si>
  <si>
    <t>Zanahoria</t>
  </si>
  <si>
    <t>Zapallito</t>
  </si>
  <si>
    <t>ZapalloBrasil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</si>
</sst>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Oswald"/>
    </font>
    <font>
      <b/>
      <color theme="1"/>
      <name val="Arial"/>
      <scheme val="minor"/>
    </font>
    <font>
      <b/>
      <sz val="9.0"/>
      <color theme="1"/>
      <name val="Oswald"/>
    </font>
    <font>
      <b/>
      <sz val="8.0"/>
      <color theme="1"/>
      <name val="Oswald"/>
    </font>
    <font>
      <b/>
      <sz val="7.0"/>
      <color theme="1"/>
      <name val="Oswald"/>
    </font>
    <font>
      <sz val="7.0"/>
      <color theme="1"/>
      <name val="Oswald"/>
    </font>
    <font>
      <sz val="9.0"/>
      <color rgb="FF000000"/>
      <name val="Oswald"/>
    </font>
    <font>
      <sz val="9.0"/>
      <color theme="1"/>
      <name val="Oswald"/>
    </font>
    <font>
      <sz val="9.0"/>
      <color rgb="FF0000FF"/>
      <name val="Oswal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2" xfId="0" applyFont="1" applyNumberFormat="1"/>
    <xf borderId="0" fillId="0" fontId="7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readingOrder="0" vertical="center"/>
    </xf>
    <xf borderId="0" fillId="0" fontId="7" numFmtId="0" xfId="0" applyAlignment="1" applyFont="1">
      <alignment horizontal="right"/>
    </xf>
    <xf borderId="0" fillId="0" fontId="6" numFmtId="0" xfId="0" applyAlignment="1" applyFont="1">
      <alignment horizontal="left" vertical="center"/>
    </xf>
    <xf borderId="0" fillId="0" fontId="5" numFmtId="2" xfId="0" applyAlignment="1" applyFont="1" applyNumberFormat="1">
      <alignment horizontal="right" vertical="center"/>
    </xf>
    <xf borderId="0" fillId="0" fontId="8" numFmtId="4" xfId="0" applyAlignment="1" applyFont="1" applyNumberFormat="1">
      <alignment horizontal="center"/>
    </xf>
    <xf borderId="0" fillId="0" fontId="8" numFmtId="3" xfId="0" applyAlignment="1" applyFont="1" applyNumberFormat="1">
      <alignment horizontal="left"/>
    </xf>
    <xf borderId="0" fillId="0" fontId="9" numFmtId="0" xfId="0" applyAlignment="1" applyFont="1">
      <alignment horizontal="center" vertical="bottom"/>
    </xf>
    <xf borderId="0" fillId="0" fontId="9" numFmtId="3" xfId="0" applyAlignment="1" applyFont="1" applyNumberFormat="1">
      <alignment horizontal="center" readingOrder="0"/>
    </xf>
    <xf borderId="0" fillId="0" fontId="9" numFmtId="0" xfId="0" applyFont="1"/>
    <xf borderId="0" fillId="0" fontId="9" numFmtId="3" xfId="0" applyAlignment="1" applyFont="1" applyNumberFormat="1">
      <alignment horizontal="left" readingOrder="0"/>
    </xf>
    <xf borderId="0" fillId="0" fontId="9" numFmtId="3" xfId="0" applyAlignment="1" applyFont="1" applyNumberFormat="1">
      <alignment horizontal="left"/>
    </xf>
    <xf borderId="0" fillId="0" fontId="9" numFmtId="3" xfId="0" applyAlignment="1" applyFont="1" applyNumberFormat="1">
      <alignment horizontal="right"/>
    </xf>
    <xf borderId="0" fillId="0" fontId="9" numFmtId="4" xfId="0" applyAlignment="1" applyFont="1" applyNumberFormat="1">
      <alignment horizontal="center" readingOrder="0"/>
    </xf>
    <xf borderId="0" fillId="0" fontId="9" numFmtId="4" xfId="0" applyAlignment="1" applyFont="1" applyNumberFormat="1">
      <alignment horizontal="right" readingOrder="0"/>
    </xf>
    <xf borderId="0" fillId="0" fontId="10" numFmtId="4" xfId="0" applyAlignment="1" applyFont="1" applyNumberFormat="1">
      <alignment horizontal="center"/>
    </xf>
    <xf borderId="0" fillId="0" fontId="10" numFmtId="3" xfId="0" applyAlignment="1" applyFont="1" applyNumberFormat="1">
      <alignment horizontal="left"/>
    </xf>
    <xf borderId="0" fillId="0" fontId="9" numFmtId="3" xfId="0" applyAlignment="1" applyFont="1" applyNumberFormat="1">
      <alignment horizontal="center" vertical="bottom"/>
    </xf>
    <xf borderId="0" fillId="0" fontId="9" numFmtId="3" xfId="0" applyAlignment="1" applyFont="1" applyNumberFormat="1">
      <alignment horizontal="center" readingOrder="0" vertical="bottom"/>
    </xf>
    <xf borderId="0" fillId="0" fontId="9" numFmtId="0" xfId="0" applyAlignment="1" applyFont="1">
      <alignment vertical="bottom"/>
    </xf>
    <xf borderId="0" fillId="0" fontId="9" numFmtId="3" xfId="0" applyFont="1" applyNumberFormat="1"/>
    <xf borderId="0" fillId="0" fontId="9" numFmtId="4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0" fontId="9" numFmtId="0" xfId="0" applyAlignment="1" applyFont="1">
      <alignment horizontal="center" readingOrder="0" vertical="bottom"/>
    </xf>
    <xf borderId="0" fillId="0" fontId="9" numFmtId="4" xfId="0" applyAlignment="1" applyFont="1" applyNumberFormat="1">
      <alignment horizontal="right"/>
    </xf>
    <xf borderId="0" fillId="0" fontId="9" numFmtId="4" xfId="0" applyAlignment="1" applyFont="1" applyNumberFormat="1">
      <alignment horizontal="center"/>
    </xf>
    <xf borderId="0" fillId="0" fontId="9" numFmtId="4" xfId="0" applyFont="1" applyNumberFormat="1"/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horizontal="right" readingOrder="0"/>
    </xf>
    <xf borderId="0" fillId="0" fontId="9" numFmtId="0" xfId="0" applyAlignment="1" applyFont="1">
      <alignment readingOrder="0" vertical="bottom"/>
    </xf>
    <xf borderId="0" fillId="0" fontId="4" numFmtId="3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0.88"/>
    <col customWidth="1" min="3" max="3" width="4.38"/>
    <col customWidth="1" min="4" max="4" width="6.63"/>
    <col customWidth="1" min="5" max="5" width="6.0"/>
    <col customWidth="1" min="6" max="6" width="6.38"/>
    <col hidden="1" min="7" max="29" width="12.63"/>
  </cols>
  <sheetData>
    <row r="1">
      <c r="A1" s="1">
        <v>1.0</v>
      </c>
      <c r="B1" s="1" t="s">
        <v>1</v>
      </c>
      <c r="C1" s="1">
        <v>0.65</v>
      </c>
      <c r="D1" s="1" t="s">
        <v>2</v>
      </c>
      <c r="E1" s="1">
        <v>90000.0</v>
      </c>
      <c r="F1" s="1">
        <v>300000.0</v>
      </c>
    </row>
    <row r="2">
      <c r="A2" s="1">
        <v>2.0</v>
      </c>
      <c r="B2" s="1" t="s">
        <v>4</v>
      </c>
      <c r="C2" s="1">
        <v>0.75</v>
      </c>
      <c r="D2" s="1" t="s">
        <v>5</v>
      </c>
      <c r="E2" s="1">
        <v>25000.0</v>
      </c>
      <c r="F2" s="1">
        <v>100000.0</v>
      </c>
    </row>
    <row r="3">
      <c r="A3" s="1">
        <v>3.0</v>
      </c>
      <c r="B3" s="1" t="s">
        <v>8</v>
      </c>
      <c r="C3" s="1">
        <v>0.75</v>
      </c>
      <c r="D3" s="3" t="s">
        <v>9</v>
      </c>
      <c r="E3" s="1">
        <v>20000.0</v>
      </c>
      <c r="F3" s="1">
        <v>75000.0</v>
      </c>
    </row>
    <row r="4">
      <c r="A4" s="1">
        <v>4.0</v>
      </c>
      <c r="B4" s="1" t="s">
        <v>17</v>
      </c>
      <c r="C4" s="1">
        <v>1.0</v>
      </c>
      <c r="D4" s="1" t="s">
        <v>18</v>
      </c>
      <c r="E4" s="1">
        <v>12000.0</v>
      </c>
      <c r="F4" s="1">
        <v>40000.0</v>
      </c>
    </row>
    <row r="5">
      <c r="A5" s="1">
        <v>5.0</v>
      </c>
      <c r="B5" s="1" t="s">
        <v>20</v>
      </c>
      <c r="C5" s="1">
        <v>0.65</v>
      </c>
      <c r="D5" s="1"/>
      <c r="E5" s="1"/>
      <c r="F5" s="1"/>
    </row>
    <row r="6">
      <c r="A6" s="1">
        <v>6.0</v>
      </c>
      <c r="B6" s="1" t="s">
        <v>23</v>
      </c>
      <c r="C6" s="1">
        <v>0.65</v>
      </c>
    </row>
    <row r="7">
      <c r="A7" s="1">
        <v>7.0</v>
      </c>
      <c r="B7" s="1" t="s">
        <v>26</v>
      </c>
      <c r="C7" s="1">
        <v>0.65</v>
      </c>
    </row>
    <row r="8">
      <c r="A8" s="1">
        <v>8.0</v>
      </c>
      <c r="B8" s="1" t="s">
        <v>28</v>
      </c>
      <c r="C8" s="1">
        <v>1.0</v>
      </c>
    </row>
    <row r="9">
      <c r="A9" s="1">
        <v>9.0</v>
      </c>
      <c r="B9" s="1" t="s">
        <v>29</v>
      </c>
    </row>
    <row r="10">
      <c r="A10" s="1">
        <v>10.0</v>
      </c>
      <c r="B10" s="1" t="s">
        <v>30</v>
      </c>
    </row>
    <row r="11">
      <c r="A11" s="1">
        <v>11.0</v>
      </c>
      <c r="B11" s="1" t="s">
        <v>31</v>
      </c>
      <c r="C11" s="1">
        <v>0.75</v>
      </c>
      <c r="D11" s="1" t="s">
        <v>5</v>
      </c>
      <c r="E11" s="1">
        <v>10000.0</v>
      </c>
      <c r="F11" s="1">
        <v>50000.0</v>
      </c>
    </row>
    <row r="12">
      <c r="A12" s="1">
        <v>12.0</v>
      </c>
      <c r="B12" s="1" t="s">
        <v>32</v>
      </c>
      <c r="C12" s="1" t="s">
        <v>33</v>
      </c>
      <c r="D12" s="1" t="s">
        <v>34</v>
      </c>
    </row>
    <row r="13">
      <c r="A13" s="1">
        <v>13.0</v>
      </c>
      <c r="B13" s="1" t="s">
        <v>35</v>
      </c>
      <c r="C13" s="1">
        <v>20.0</v>
      </c>
      <c r="D13" s="1" t="s">
        <v>36</v>
      </c>
      <c r="E13" s="1" t="s">
        <v>37</v>
      </c>
    </row>
    <row r="14">
      <c r="A14" s="1">
        <v>14.0</v>
      </c>
    </row>
    <row r="15">
      <c r="A15" s="1">
        <v>15.0</v>
      </c>
    </row>
    <row r="16">
      <c r="A16" s="1">
        <v>16.0</v>
      </c>
    </row>
    <row r="17">
      <c r="A17" s="1">
        <v>17.0</v>
      </c>
    </row>
    <row r="18">
      <c r="A18" s="1">
        <v>18.0</v>
      </c>
    </row>
    <row r="19">
      <c r="A19" s="1">
        <v>19.0</v>
      </c>
    </row>
    <row r="20">
      <c r="A20" s="1">
        <v>20.0</v>
      </c>
    </row>
    <row r="21">
      <c r="A21" s="1">
        <v>21.0</v>
      </c>
    </row>
    <row r="22">
      <c r="A22" s="1">
        <v>22.0</v>
      </c>
    </row>
    <row r="23">
      <c r="A23" s="1">
        <v>23.0</v>
      </c>
    </row>
    <row r="24">
      <c r="A24" s="1">
        <v>24.0</v>
      </c>
    </row>
    <row r="25">
      <c r="A25" s="1">
        <v>25.0</v>
      </c>
    </row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13"/>
    <col customWidth="1" min="2" max="2" width="3.0"/>
    <col customWidth="1" min="3" max="3" width="6.75"/>
    <col customWidth="1" hidden="1" min="4" max="4" width="1.38"/>
    <col customWidth="1" min="5" max="5" width="5.0"/>
    <col customWidth="1" min="6" max="6" width="4.13"/>
    <col customWidth="1" hidden="1" min="7" max="7" width="4.13"/>
    <col customWidth="1" min="8" max="8" width="3.75"/>
    <col customWidth="1" min="9" max="9" width="6.88"/>
    <col customWidth="1" min="10" max="10" width="0.25"/>
    <col customWidth="1" hidden="1" min="11" max="11" width="7.0"/>
    <col customWidth="1" hidden="1" min="12" max="12" width="6.75"/>
    <col customWidth="1" min="13" max="13" width="2.5"/>
    <col hidden="1" min="14" max="29" width="12.63"/>
  </cols>
  <sheetData>
    <row r="1" ht="18.0" customHeight="1">
      <c r="A1" s="4">
        <v>1.0</v>
      </c>
      <c r="B1" s="7" t="str">
        <f>LOOKUP(A1,L!A:A,L!B:B)</f>
        <v>Beraca</v>
      </c>
      <c r="D1" s="8"/>
      <c r="E1" s="8"/>
      <c r="F1" s="8"/>
      <c r="G1" s="8"/>
      <c r="H1" s="7">
        <f>IF(A1=1,SUMIFS(K3:K587,B3:B587,1),IF(A1=2,SUMIFS(K3:K587,B3:B587,2),IF(A1=3,SUMIFS(K3:K587,B3:B587,3),IF(A1=4,SUMIFS(K3:K587,B3:B587,4),IF(A1=5,SUMIFS(K3:K587,B3:B587,5),IF(A1=6,SUMIFS(K3:K587,B3:B587,6),IF(A1=7,SUMIFS(K3:K587,B3:B587,7),IF(A1=8,SUMIFS(K3:K587,B3:B587,8),IF(A1=9,SUMIFS(K3:K587,B3:B587,9),IF(A1=10,SUMIFS(K3:K587,B3:B587,10),IF(A1=11,SUMIFS(K3:K587,B3:B587,11),IF(A1=12,SUMIFS(K3:K587,B3:B587,12),""))))))))))))</f>
        <v>0</v>
      </c>
      <c r="J1" s="7"/>
      <c r="K1" s="10"/>
      <c r="L1" s="10"/>
      <c r="M1" s="11"/>
    </row>
    <row r="2" ht="18.0" customHeight="1">
      <c r="A2" s="12"/>
      <c r="B2" s="12"/>
      <c r="C2" s="8"/>
      <c r="D2" s="13"/>
      <c r="E2" s="13"/>
      <c r="F2" s="8"/>
      <c r="I2" s="14"/>
      <c r="J2" s="14"/>
      <c r="K2" s="15"/>
      <c r="L2" s="15"/>
      <c r="M2" s="16"/>
    </row>
    <row r="3" ht="15.0" hidden="1" customHeight="1">
      <c r="A3" s="17" t="s">
        <v>41</v>
      </c>
      <c r="B3" s="18">
        <v>1.0</v>
      </c>
      <c r="C3" s="19" t="s">
        <v>42</v>
      </c>
      <c r="D3" s="20"/>
      <c r="E3" s="21"/>
      <c r="F3" s="22">
        <v>1500.0</v>
      </c>
      <c r="G3" s="22">
        <v>1000.0</v>
      </c>
      <c r="H3" s="23"/>
      <c r="I3" s="24">
        <v>6899.25</v>
      </c>
      <c r="J3" s="24"/>
      <c r="K3" s="25">
        <f t="shared" ref="K3:K587" si="1">ROUND(H3*I3,2)</f>
        <v>0</v>
      </c>
      <c r="L3" s="25">
        <f>IF(I3=0,"",I3/F3*G3*LOOKUP(B3,L!A:A,L!C:C))</f>
        <v>2989.675</v>
      </c>
      <c r="M3" s="26">
        <f>IF(L3=MIN(L3:L5),1,0)</f>
        <v>0</v>
      </c>
    </row>
    <row r="4" ht="15.0" hidden="1" customHeight="1">
      <c r="A4" s="27" t="s">
        <v>41</v>
      </c>
      <c r="B4" s="28">
        <v>2.0</v>
      </c>
      <c r="C4" s="29" t="s">
        <v>42</v>
      </c>
      <c r="D4" s="20"/>
      <c r="E4" s="21" t="s">
        <v>43</v>
      </c>
      <c r="F4" s="30">
        <v>1500.0</v>
      </c>
      <c r="G4" s="30">
        <v>1000.0</v>
      </c>
      <c r="H4" s="23"/>
      <c r="I4" s="31">
        <v>5650.0</v>
      </c>
      <c r="J4" s="31"/>
      <c r="K4" s="25">
        <f t="shared" si="1"/>
        <v>0</v>
      </c>
      <c r="L4" s="25">
        <f>IF(I4=0,"",I4/F4*G4*LOOKUP(B4,L!A:A,L!C:C))</f>
        <v>2825</v>
      </c>
      <c r="M4" s="26">
        <f>IF(L4=MIN(L3:L5),1,0)</f>
        <v>1</v>
      </c>
    </row>
    <row r="5" ht="15.0" hidden="1" customHeight="1">
      <c r="A5" s="17" t="s">
        <v>41</v>
      </c>
      <c r="B5" s="28">
        <v>4.0</v>
      </c>
      <c r="C5" s="29" t="s">
        <v>42</v>
      </c>
      <c r="D5" s="20"/>
      <c r="E5" s="21" t="s">
        <v>43</v>
      </c>
      <c r="F5" s="32">
        <v>1000.0</v>
      </c>
      <c r="G5" s="30">
        <v>1000.0</v>
      </c>
      <c r="H5" s="23"/>
      <c r="I5" s="31">
        <v>3000.0</v>
      </c>
      <c r="J5" s="31"/>
      <c r="K5" s="25">
        <f t="shared" si="1"/>
        <v>0</v>
      </c>
      <c r="L5" s="25">
        <f>IF(I5=0,"",I5/F5*G5*LOOKUP(B5,L!A:A,L!C:C))</f>
        <v>3000</v>
      </c>
      <c r="M5" s="26">
        <f>IF(L5=MIN(L3:L5),1,0)</f>
        <v>0</v>
      </c>
    </row>
    <row r="6" ht="15.0" hidden="1" customHeight="1">
      <c r="A6" s="17" t="s">
        <v>41</v>
      </c>
      <c r="B6" s="18">
        <v>1.0</v>
      </c>
      <c r="C6" s="19" t="s">
        <v>44</v>
      </c>
      <c r="D6" s="21"/>
      <c r="E6" s="21"/>
      <c r="F6" s="22">
        <v>500.0</v>
      </c>
      <c r="G6" s="22">
        <v>1000.0</v>
      </c>
      <c r="H6" s="23"/>
      <c r="I6" s="24">
        <v>10326.35</v>
      </c>
      <c r="J6" s="24"/>
      <c r="K6" s="25">
        <f t="shared" si="1"/>
        <v>0</v>
      </c>
      <c r="L6" s="25">
        <f>IF(I6=0,"",I6/F6*G6*LOOKUP(B6,L!A:A,L!C:C))</f>
        <v>13424.255</v>
      </c>
      <c r="M6" s="26">
        <f>IF(L6=MIN(L6:L8),1,0)</f>
        <v>0</v>
      </c>
    </row>
    <row r="7" ht="15.0" hidden="1" customHeight="1">
      <c r="A7" s="27" t="s">
        <v>41</v>
      </c>
      <c r="B7" s="28">
        <v>2.0</v>
      </c>
      <c r="C7" s="29" t="s">
        <v>44</v>
      </c>
      <c r="D7" s="21"/>
      <c r="E7" s="21"/>
      <c r="F7" s="30">
        <v>500.0</v>
      </c>
      <c r="G7" s="30">
        <v>1000.0</v>
      </c>
      <c r="H7" s="23"/>
      <c r="I7" s="31">
        <v>15660.0</v>
      </c>
      <c r="J7" s="31"/>
      <c r="K7" s="25">
        <f t="shared" si="1"/>
        <v>0</v>
      </c>
      <c r="L7" s="25">
        <f>IF(I7=0,"",I7/F7*G7*LOOKUP(B7,L!A:A,L!C:C))</f>
        <v>23490</v>
      </c>
      <c r="M7" s="26">
        <f>IF(L7=MIN(L6:L8),1,0)</f>
        <v>0</v>
      </c>
    </row>
    <row r="8" ht="15.0" hidden="1" customHeight="1">
      <c r="A8" s="17" t="s">
        <v>41</v>
      </c>
      <c r="B8" s="28">
        <v>4.0</v>
      </c>
      <c r="C8" s="29" t="s">
        <v>44</v>
      </c>
      <c r="D8" s="21"/>
      <c r="E8" s="21"/>
      <c r="F8" s="30">
        <v>500.0</v>
      </c>
      <c r="G8" s="30">
        <v>1000.0</v>
      </c>
      <c r="H8" s="23"/>
      <c r="I8" s="31">
        <v>3456.0</v>
      </c>
      <c r="J8" s="31"/>
      <c r="K8" s="25">
        <f t="shared" si="1"/>
        <v>0</v>
      </c>
      <c r="L8" s="25">
        <f>IF(I8=0,"",I8/F8*G8*LOOKUP(B8,L!A:A,L!C:C))</f>
        <v>6912</v>
      </c>
      <c r="M8" s="26">
        <f>IF(L8=MIN(L6:L8),1,0)</f>
        <v>1</v>
      </c>
    </row>
    <row r="9" ht="15.0" hidden="1" customHeight="1">
      <c r="A9" s="33" t="s">
        <v>41</v>
      </c>
      <c r="B9" s="18">
        <v>1.0</v>
      </c>
      <c r="C9" s="19" t="s">
        <v>45</v>
      </c>
      <c r="D9" s="21"/>
      <c r="E9" s="21"/>
      <c r="F9" s="22">
        <v>200.0</v>
      </c>
      <c r="G9" s="22">
        <v>1000.0</v>
      </c>
      <c r="H9" s="23"/>
      <c r="I9" s="34"/>
      <c r="J9" s="34"/>
      <c r="K9" s="25">
        <f t="shared" si="1"/>
        <v>0</v>
      </c>
      <c r="L9" s="25" t="str">
        <f>IF(I9=0,"",I9/F9*G9*LOOKUP(B9,L!A:A,L!C:C))</f>
        <v/>
      </c>
      <c r="M9" s="26">
        <f>IF(L9=MIN(L9:L11),1,0)</f>
        <v>0</v>
      </c>
    </row>
    <row r="10" ht="15.0" hidden="1" customHeight="1">
      <c r="A10" s="33" t="s">
        <v>41</v>
      </c>
      <c r="B10" s="28">
        <v>5.0</v>
      </c>
      <c r="C10" s="29" t="s">
        <v>45</v>
      </c>
      <c r="D10" s="21"/>
      <c r="E10" s="21"/>
      <c r="F10" s="30">
        <v>300.0</v>
      </c>
      <c r="G10" s="30">
        <v>1000.0</v>
      </c>
      <c r="H10" s="23"/>
      <c r="I10" s="31">
        <v>222.0</v>
      </c>
      <c r="J10" s="31"/>
      <c r="K10" s="25">
        <f t="shared" si="1"/>
        <v>0</v>
      </c>
      <c r="L10" s="25">
        <f>IF(I10=0,"",I10/F10*G10*LOOKUP(B10,L!A:A,L!C:C))</f>
        <v>481</v>
      </c>
      <c r="M10" s="26">
        <f>IF(L10=MIN(L9:L11),1,0)</f>
        <v>1</v>
      </c>
    </row>
    <row r="11" ht="15.0" hidden="1" customHeight="1">
      <c r="A11" s="33" t="s">
        <v>41</v>
      </c>
      <c r="B11" s="28">
        <v>4.0</v>
      </c>
      <c r="C11" s="29" t="s">
        <v>45</v>
      </c>
      <c r="D11" s="21"/>
      <c r="E11" s="21"/>
      <c r="F11" s="30"/>
      <c r="G11" s="30">
        <v>1000.0</v>
      </c>
      <c r="H11" s="35"/>
      <c r="I11" s="36"/>
      <c r="J11" s="36"/>
      <c r="K11" s="25">
        <f t="shared" si="1"/>
        <v>0</v>
      </c>
      <c r="L11" s="25" t="str">
        <f>IF(I11=0,"",I11/F11*G11*LOOKUP(B11,L!A:A,L!C:C))</f>
        <v/>
      </c>
      <c r="M11" s="26">
        <f>IF(L11=MIN(L9:L11),1,0)</f>
        <v>0</v>
      </c>
    </row>
    <row r="12" ht="15.0" hidden="1" customHeight="1">
      <c r="A12" s="33" t="s">
        <v>46</v>
      </c>
      <c r="B12" s="18">
        <v>1.0</v>
      </c>
      <c r="C12" s="19" t="s">
        <v>47</v>
      </c>
      <c r="D12" s="21"/>
      <c r="E12" s="21"/>
      <c r="F12" s="22">
        <v>1.0</v>
      </c>
      <c r="G12" s="22">
        <v>1.0</v>
      </c>
      <c r="H12" s="23"/>
      <c r="I12" s="24">
        <v>564.0</v>
      </c>
      <c r="J12" s="34"/>
      <c r="K12" s="25">
        <f t="shared" si="1"/>
        <v>0</v>
      </c>
      <c r="L12" s="25">
        <f>IF(I12=0,"",I12/F12*G12*LOOKUP(B12,L!A:A,L!C:C))</f>
        <v>366.6</v>
      </c>
      <c r="M12" s="26">
        <f>IF(L12=MIN(L12:L14),1,0)</f>
        <v>1</v>
      </c>
    </row>
    <row r="13" ht="15.0" hidden="1" customHeight="1">
      <c r="A13" s="33" t="s">
        <v>46</v>
      </c>
      <c r="B13" s="28">
        <v>2.0</v>
      </c>
      <c r="C13" s="29" t="s">
        <v>47</v>
      </c>
      <c r="D13" s="21"/>
      <c r="E13" s="21"/>
      <c r="F13" s="32">
        <v>1.0</v>
      </c>
      <c r="G13" s="30">
        <v>1.0</v>
      </c>
      <c r="H13" s="35"/>
      <c r="I13" s="36"/>
      <c r="J13" s="36"/>
      <c r="K13" s="25">
        <f t="shared" si="1"/>
        <v>0</v>
      </c>
      <c r="L13" s="25" t="str">
        <f>IF(I13=0,"",I13/F13*G13*LOOKUP(B13,L!A:A,L!C:C))</f>
        <v/>
      </c>
      <c r="M13" s="26">
        <f>IF(L13=MIN(L12:L14),1,0)</f>
        <v>0</v>
      </c>
    </row>
    <row r="14" ht="15.0" hidden="1" customHeight="1">
      <c r="A14" s="33" t="s">
        <v>46</v>
      </c>
      <c r="B14" s="28">
        <v>4.0</v>
      </c>
      <c r="C14" s="29" t="s">
        <v>47</v>
      </c>
      <c r="D14" s="21"/>
      <c r="E14" s="21"/>
      <c r="F14" s="32">
        <v>1.0</v>
      </c>
      <c r="G14" s="30">
        <v>1.0</v>
      </c>
      <c r="H14" s="35"/>
      <c r="I14" s="36"/>
      <c r="J14" s="36"/>
      <c r="K14" s="25">
        <f t="shared" si="1"/>
        <v>0</v>
      </c>
      <c r="L14" s="25" t="str">
        <f>IF(I14=0,"",I14/F14*G14*LOOKUP(B14,L!A:A,L!C:C))</f>
        <v/>
      </c>
      <c r="M14" s="26">
        <f>IF(L14=MIN(L12:L14),1,0)</f>
        <v>0</v>
      </c>
    </row>
    <row r="15" ht="15.0" hidden="1" customHeight="1">
      <c r="A15" s="33" t="s">
        <v>48</v>
      </c>
      <c r="B15" s="18">
        <v>1.0</v>
      </c>
      <c r="C15" s="37" t="s">
        <v>49</v>
      </c>
      <c r="D15" s="20"/>
      <c r="E15" s="20" t="s">
        <v>50</v>
      </c>
      <c r="F15" s="38">
        <v>360.0</v>
      </c>
      <c r="G15" s="22">
        <v>1000.0</v>
      </c>
      <c r="H15" s="23"/>
      <c r="I15" s="24">
        <v>4529.35</v>
      </c>
      <c r="J15" s="24"/>
      <c r="K15" s="25">
        <f t="shared" si="1"/>
        <v>0</v>
      </c>
      <c r="L15" s="25">
        <f>IF(I15=0,"",I15/F15*G15*LOOKUP(B15,L!A:A,L!C:C))</f>
        <v>8177.993056</v>
      </c>
      <c r="M15" s="26">
        <f>IF(L15=MIN(L15:L17),1,0)</f>
        <v>1</v>
      </c>
    </row>
    <row r="16" ht="15.0" hidden="1" customHeight="1">
      <c r="A16" s="33" t="s">
        <v>48</v>
      </c>
      <c r="B16" s="28">
        <v>2.0</v>
      </c>
      <c r="C16" s="37" t="s">
        <v>49</v>
      </c>
      <c r="D16" s="21"/>
      <c r="E16" s="21"/>
      <c r="F16" s="38">
        <v>360.0</v>
      </c>
      <c r="G16" s="30">
        <v>1000.0</v>
      </c>
      <c r="H16" s="35"/>
      <c r="I16" s="31"/>
      <c r="J16" s="31"/>
      <c r="K16" s="25">
        <f t="shared" si="1"/>
        <v>0</v>
      </c>
      <c r="L16" s="25" t="str">
        <f>IF(I16=0,"",I16/F16*G16*LOOKUP(B16,L!A:A,L!C:C))</f>
        <v/>
      </c>
      <c r="M16" s="26">
        <f>IF(L16=MIN(L15:L17),1,0)</f>
        <v>0</v>
      </c>
    </row>
    <row r="17" ht="15.0" hidden="1" customHeight="1">
      <c r="A17" s="33" t="s">
        <v>48</v>
      </c>
      <c r="B17" s="28">
        <v>4.0</v>
      </c>
      <c r="C17" s="37" t="s">
        <v>49</v>
      </c>
      <c r="D17" s="21"/>
      <c r="E17" s="21"/>
      <c r="F17" s="38">
        <v>360.0</v>
      </c>
      <c r="G17" s="30">
        <v>1000.0</v>
      </c>
      <c r="H17" s="23"/>
      <c r="I17" s="31"/>
      <c r="J17" s="31"/>
      <c r="K17" s="25">
        <f t="shared" si="1"/>
        <v>0</v>
      </c>
      <c r="L17" s="25" t="str">
        <f>IF(I17=0,"",I17/F17*G17*LOOKUP(B17,L!A:A,L!C:C))</f>
        <v/>
      </c>
      <c r="M17" s="26">
        <f>IF(L17=MIN(L15:L17),1,0)</f>
        <v>0</v>
      </c>
    </row>
    <row r="18" ht="15.0" customHeight="1">
      <c r="A18" s="27" t="s">
        <v>51</v>
      </c>
      <c r="B18" s="18">
        <v>1.0</v>
      </c>
      <c r="C18" s="37" t="s">
        <v>52</v>
      </c>
      <c r="D18" s="20"/>
      <c r="E18" s="21" t="s">
        <v>53</v>
      </c>
      <c r="F18" s="38">
        <v>6250.0</v>
      </c>
      <c r="G18" s="22">
        <v>1000.0</v>
      </c>
      <c r="H18" s="23">
        <v>0.0</v>
      </c>
      <c r="I18" s="24">
        <v>4205.49</v>
      </c>
      <c r="J18" s="24"/>
      <c r="K18" s="25">
        <f t="shared" si="1"/>
        <v>0</v>
      </c>
      <c r="L18" s="25">
        <f>IF(I18=0,"",I18/F18*G18*LOOKUP(B18,L!A:A,L!C:C))</f>
        <v>437.37096</v>
      </c>
      <c r="M18" s="26">
        <f>IF(L18=MIN(L18:L20),1,0)</f>
        <v>1</v>
      </c>
    </row>
    <row r="19" ht="15.0" hidden="1" customHeight="1">
      <c r="A19" s="27" t="s">
        <v>51</v>
      </c>
      <c r="B19" s="28">
        <v>4.0</v>
      </c>
      <c r="C19" s="37" t="s">
        <v>52</v>
      </c>
      <c r="D19" s="21"/>
      <c r="E19" s="21" t="s">
        <v>53</v>
      </c>
      <c r="F19" s="32">
        <v>6250.0</v>
      </c>
      <c r="G19" s="30">
        <v>1000.0</v>
      </c>
      <c r="H19" s="23"/>
      <c r="I19" s="31"/>
      <c r="J19" s="31"/>
      <c r="K19" s="25">
        <f t="shared" si="1"/>
        <v>0</v>
      </c>
      <c r="L19" s="25" t="str">
        <f>IF(I19=0,"",I19/F19*G19*LOOKUP(B19,L!A:A,L!C:C))</f>
        <v/>
      </c>
      <c r="M19" s="26">
        <f>IF(L19=MIN(L18:L20),1,0)</f>
        <v>0</v>
      </c>
    </row>
    <row r="20" ht="15.0" hidden="1" customHeight="1">
      <c r="A20" s="17" t="s">
        <v>51</v>
      </c>
      <c r="B20" s="28">
        <v>3.0</v>
      </c>
      <c r="C20" s="37" t="s">
        <v>52</v>
      </c>
      <c r="D20" s="20"/>
      <c r="E20" s="20" t="s">
        <v>53</v>
      </c>
      <c r="F20" s="30">
        <v>6250.0</v>
      </c>
      <c r="G20" s="30">
        <v>1000.0</v>
      </c>
      <c r="H20" s="23"/>
      <c r="I20" s="31">
        <v>5199.0</v>
      </c>
      <c r="J20" s="31"/>
      <c r="K20" s="25">
        <f t="shared" si="1"/>
        <v>0</v>
      </c>
      <c r="L20" s="25">
        <f>IF(I20=0,"",I20/F20*G20*LOOKUP(B20,L!A:A,L!C:C))</f>
        <v>623.88</v>
      </c>
      <c r="M20" s="26">
        <f>IF(L20=MIN(L18:L20),1,0)</f>
        <v>0</v>
      </c>
    </row>
    <row r="21" ht="15.0" hidden="1" customHeight="1">
      <c r="A21" s="33" t="s">
        <v>46</v>
      </c>
      <c r="B21" s="18">
        <v>1.0</v>
      </c>
      <c r="C21" s="29" t="s">
        <v>54</v>
      </c>
      <c r="D21" s="21"/>
      <c r="E21" s="21"/>
      <c r="F21" s="38">
        <v>1.0</v>
      </c>
      <c r="G21" s="38">
        <v>1.0</v>
      </c>
      <c r="H21" s="23"/>
      <c r="I21" s="24">
        <v>1654.0</v>
      </c>
      <c r="J21" s="24"/>
      <c r="K21" s="25">
        <f t="shared" si="1"/>
        <v>0</v>
      </c>
      <c r="L21" s="25">
        <f>IF(I21=0,"",I21/F21*G21*LOOKUP(B21,L!A:A,L!C:C))</f>
        <v>1075.1</v>
      </c>
      <c r="M21" s="26">
        <f>IF(L21=MIN(L21:L23),1,0)</f>
        <v>1</v>
      </c>
    </row>
    <row r="22" ht="15.0" hidden="1" customHeight="1">
      <c r="A22" s="33" t="s">
        <v>46</v>
      </c>
      <c r="B22" s="28">
        <v>2.0</v>
      </c>
      <c r="C22" s="29" t="s">
        <v>54</v>
      </c>
      <c r="D22" s="21"/>
      <c r="E22" s="21"/>
      <c r="F22" s="32">
        <v>1.0</v>
      </c>
      <c r="G22" s="30">
        <v>1.0</v>
      </c>
      <c r="H22" s="23"/>
      <c r="I22" s="31"/>
      <c r="J22" s="31"/>
      <c r="K22" s="25">
        <f t="shared" si="1"/>
        <v>0</v>
      </c>
      <c r="L22" s="25" t="str">
        <f>IF(I22=0,"",I22/F22*G22*LOOKUP(B22,L!A:A,L!C:C))</f>
        <v/>
      </c>
      <c r="M22" s="26">
        <f>IF(L22=MIN(L21:L23),1,0)</f>
        <v>0</v>
      </c>
    </row>
    <row r="23" ht="15.0" hidden="1" customHeight="1">
      <c r="A23" s="33" t="s">
        <v>46</v>
      </c>
      <c r="B23" s="28">
        <v>4.0</v>
      </c>
      <c r="C23" s="29" t="s">
        <v>54</v>
      </c>
      <c r="D23" s="21"/>
      <c r="E23" s="21"/>
      <c r="F23" s="32">
        <v>1.0</v>
      </c>
      <c r="G23" s="30">
        <v>1.0</v>
      </c>
      <c r="H23" s="23"/>
      <c r="I23" s="31">
        <v>5600.0</v>
      </c>
      <c r="J23" s="31"/>
      <c r="K23" s="25">
        <f t="shared" si="1"/>
        <v>0</v>
      </c>
      <c r="L23" s="25">
        <f>IF(I23=0,"",I23/F23*G23*LOOKUP(B23,L!A:A,L!C:C))</f>
        <v>5600</v>
      </c>
      <c r="M23" s="26">
        <f>IF(L23=MIN(L21:L23),1,0)</f>
        <v>0</v>
      </c>
    </row>
    <row r="24" ht="15.0" hidden="1" customHeight="1">
      <c r="A24" s="17" t="s">
        <v>55</v>
      </c>
      <c r="B24" s="18">
        <v>1.0</v>
      </c>
      <c r="C24" s="19" t="s">
        <v>56</v>
      </c>
      <c r="D24" s="21"/>
      <c r="E24" s="21"/>
      <c r="F24" s="22">
        <v>1.0</v>
      </c>
      <c r="G24" s="22">
        <v>1.0</v>
      </c>
      <c r="H24" s="23"/>
      <c r="I24" s="34"/>
      <c r="J24" s="34"/>
      <c r="K24" s="25">
        <f t="shared" si="1"/>
        <v>0</v>
      </c>
      <c r="L24" s="25" t="str">
        <f>IF(I24=0,"",I24/F24*G24*LOOKUP(B24,L!A:A,L!C:C))</f>
        <v/>
      </c>
      <c r="M24" s="26">
        <f>IF(L24=MIN(L24:L26),1,0)</f>
        <v>0</v>
      </c>
    </row>
    <row r="25" ht="15.0" hidden="1" customHeight="1">
      <c r="A25" s="27" t="s">
        <v>55</v>
      </c>
      <c r="B25" s="28">
        <v>2.0</v>
      </c>
      <c r="C25" s="29" t="s">
        <v>56</v>
      </c>
      <c r="D25" s="21"/>
      <c r="E25" s="21"/>
      <c r="F25" s="30"/>
      <c r="G25" s="30">
        <v>1.0</v>
      </c>
      <c r="H25" s="35"/>
      <c r="I25" s="36"/>
      <c r="J25" s="36"/>
      <c r="K25" s="25">
        <f t="shared" si="1"/>
        <v>0</v>
      </c>
      <c r="L25" s="25" t="str">
        <f>IF(I25=0,"",I25/F25*G25*LOOKUP(B25,L!A:A,L!C:C))</f>
        <v/>
      </c>
      <c r="M25" s="26">
        <f>IF(L25=MIN(L24:L26),1,0)</f>
        <v>0</v>
      </c>
    </row>
    <row r="26" ht="15.0" hidden="1" customHeight="1">
      <c r="A26" s="17" t="s">
        <v>55</v>
      </c>
      <c r="B26" s="28">
        <v>4.0</v>
      </c>
      <c r="C26" s="29" t="s">
        <v>56</v>
      </c>
      <c r="D26" s="21"/>
      <c r="E26" s="21"/>
      <c r="F26" s="30"/>
      <c r="G26" s="30">
        <v>1.0</v>
      </c>
      <c r="H26" s="35"/>
      <c r="I26" s="36"/>
      <c r="J26" s="36"/>
      <c r="K26" s="25">
        <f t="shared" si="1"/>
        <v>0</v>
      </c>
      <c r="L26" s="25" t="str">
        <f>IF(I26=0,"",I26/F26*G26*LOOKUP(B26,L!A:A,L!C:C))</f>
        <v/>
      </c>
      <c r="M26" s="26">
        <f>IF(L26=MIN(L24:L26),1,0)</f>
        <v>0</v>
      </c>
    </row>
    <row r="27" ht="15.0" hidden="1" customHeight="1">
      <c r="A27" s="17" t="s">
        <v>57</v>
      </c>
      <c r="B27" s="18">
        <v>1.0</v>
      </c>
      <c r="C27" s="19" t="s">
        <v>58</v>
      </c>
      <c r="D27" s="21"/>
      <c r="E27" s="21"/>
      <c r="F27" s="22">
        <v>1000.0</v>
      </c>
      <c r="G27" s="22">
        <v>1000.0</v>
      </c>
      <c r="H27" s="23"/>
      <c r="I27" s="34"/>
      <c r="J27" s="34"/>
      <c r="K27" s="25">
        <f t="shared" si="1"/>
        <v>0</v>
      </c>
      <c r="L27" s="25" t="str">
        <f>IF(I27=0,"",I27/F27*G27*LOOKUP(B27,L!A:A,L!C:C))</f>
        <v/>
      </c>
      <c r="M27" s="26">
        <f>IF(L27=MIN(L27:L29),1,0)</f>
        <v>0</v>
      </c>
    </row>
    <row r="28" ht="15.0" hidden="1" customHeight="1">
      <c r="A28" s="27" t="s">
        <v>57</v>
      </c>
      <c r="B28" s="28">
        <v>2.0</v>
      </c>
      <c r="C28" s="29" t="s">
        <v>58</v>
      </c>
      <c r="D28" s="21"/>
      <c r="E28" s="21"/>
      <c r="F28" s="30">
        <v>1000.0</v>
      </c>
      <c r="G28" s="30">
        <v>1000.0</v>
      </c>
      <c r="H28" s="35"/>
      <c r="I28" s="36">
        <v>4750.0</v>
      </c>
      <c r="J28" s="36"/>
      <c r="K28" s="25">
        <f t="shared" si="1"/>
        <v>0</v>
      </c>
      <c r="L28" s="25">
        <f>IF(I28=0,"",I28/F28*G28*LOOKUP(B28,L!A:A,L!C:C))</f>
        <v>3562.5</v>
      </c>
      <c r="M28" s="26">
        <f>IF(L28=MIN(L27:L29),1,0)</f>
        <v>1</v>
      </c>
    </row>
    <row r="29" ht="15.0" hidden="1" customHeight="1">
      <c r="A29" s="17" t="s">
        <v>57</v>
      </c>
      <c r="B29" s="28">
        <v>3.0</v>
      </c>
      <c r="C29" s="29" t="s">
        <v>58</v>
      </c>
      <c r="D29" s="21"/>
      <c r="E29" s="21"/>
      <c r="F29" s="32">
        <v>1000.0</v>
      </c>
      <c r="G29" s="30">
        <v>1000.0</v>
      </c>
      <c r="H29" s="35"/>
      <c r="I29" s="31">
        <v>6349.0</v>
      </c>
      <c r="J29" s="31"/>
      <c r="K29" s="25">
        <f t="shared" si="1"/>
        <v>0</v>
      </c>
      <c r="L29" s="25">
        <f>IF(I29=0,"",I29/F29*G29*LOOKUP(B29,L!A:A,L!C:C))</f>
        <v>4761.75</v>
      </c>
      <c r="M29" s="26">
        <f>IF(L29=MIN(L27:L29),1,0)</f>
        <v>0</v>
      </c>
    </row>
    <row r="30" ht="15.0" hidden="1" customHeight="1">
      <c r="A30" s="27" t="s">
        <v>59</v>
      </c>
      <c r="B30" s="18">
        <v>1.0</v>
      </c>
      <c r="C30" s="29" t="s">
        <v>60</v>
      </c>
      <c r="D30" s="20"/>
      <c r="E30" s="20"/>
      <c r="F30" s="38">
        <v>50.0</v>
      </c>
      <c r="G30" s="22">
        <v>1000.0</v>
      </c>
      <c r="H30" s="23"/>
      <c r="I30" s="24">
        <v>1828.59</v>
      </c>
      <c r="J30" s="24"/>
      <c r="K30" s="25">
        <f t="shared" si="1"/>
        <v>0</v>
      </c>
      <c r="L30" s="25">
        <f>IF(I30=0,"",I30/F30*G30*LOOKUP(B30,L!A:A,L!C:C))</f>
        <v>23771.67</v>
      </c>
      <c r="M30" s="26">
        <f>IF(L30=MIN(L30:L32),1,0)</f>
        <v>0</v>
      </c>
    </row>
    <row r="31" ht="15.0" hidden="1" customHeight="1">
      <c r="A31" s="27" t="s">
        <v>59</v>
      </c>
      <c r="B31" s="28">
        <v>3.0</v>
      </c>
      <c r="C31" s="29" t="s">
        <v>60</v>
      </c>
      <c r="D31" s="21"/>
      <c r="E31" s="21"/>
      <c r="F31" s="32">
        <v>228.0</v>
      </c>
      <c r="G31" s="30">
        <v>1000.0</v>
      </c>
      <c r="H31" s="23"/>
      <c r="I31" s="31">
        <v>6769.0</v>
      </c>
      <c r="J31" s="31"/>
      <c r="K31" s="25">
        <f t="shared" si="1"/>
        <v>0</v>
      </c>
      <c r="L31" s="25">
        <f>IF(I31=0,"",I31/F31*G31*LOOKUP(B31,L!A:A,L!C:C))</f>
        <v>22266.44737</v>
      </c>
      <c r="M31" s="26">
        <f>IF(L31=MIN(L30:L32),1,0)</f>
        <v>0</v>
      </c>
    </row>
    <row r="32" ht="15.0" hidden="1" customHeight="1">
      <c r="A32" s="17" t="s">
        <v>59</v>
      </c>
      <c r="B32" s="28">
        <v>4.0</v>
      </c>
      <c r="C32" s="29" t="s">
        <v>60</v>
      </c>
      <c r="D32" s="21"/>
      <c r="E32" s="21"/>
      <c r="F32" s="30">
        <v>300.0</v>
      </c>
      <c r="G32" s="30">
        <v>1000.0</v>
      </c>
      <c r="H32" s="23">
        <v>0.0</v>
      </c>
      <c r="I32" s="24">
        <v>5200.0</v>
      </c>
      <c r="J32" s="31"/>
      <c r="K32" s="25">
        <f t="shared" si="1"/>
        <v>0</v>
      </c>
      <c r="L32" s="25">
        <f>IF(I32=0,"",I32/F32*G32*LOOKUP(B32,L!A:A,L!C:C))</f>
        <v>17333.33333</v>
      </c>
      <c r="M32" s="26">
        <f>IF(L32=MIN(L30:L32),1,0)</f>
        <v>1</v>
      </c>
    </row>
    <row r="33" ht="15.0" hidden="1" customHeight="1">
      <c r="A33" s="17" t="s">
        <v>57</v>
      </c>
      <c r="B33" s="18">
        <v>1.0</v>
      </c>
      <c r="C33" s="19" t="s">
        <v>61</v>
      </c>
      <c r="D33" s="21"/>
      <c r="E33" s="21"/>
      <c r="F33" s="22">
        <v>100.0</v>
      </c>
      <c r="G33" s="22">
        <v>1000.0</v>
      </c>
      <c r="H33" s="23"/>
      <c r="I33" s="34"/>
      <c r="J33" s="34"/>
      <c r="K33" s="25">
        <f t="shared" si="1"/>
        <v>0</v>
      </c>
      <c r="L33" s="25" t="str">
        <f>IF(I33=0,"",I33/F33*G33*LOOKUP(B33,L!A:A,L!C:C))</f>
        <v/>
      </c>
      <c r="M33" s="26">
        <f>IF(L33=MIN(L33:L35),1,0)</f>
        <v>0</v>
      </c>
    </row>
    <row r="34" ht="15.0" hidden="1" customHeight="1">
      <c r="A34" s="27" t="s">
        <v>57</v>
      </c>
      <c r="B34" s="28">
        <v>2.0</v>
      </c>
      <c r="C34" s="29" t="s">
        <v>61</v>
      </c>
      <c r="D34" s="21"/>
      <c r="E34" s="21"/>
      <c r="F34" s="30">
        <v>140.0</v>
      </c>
      <c r="G34" s="30">
        <v>1000.0</v>
      </c>
      <c r="H34" s="35"/>
      <c r="I34" s="36">
        <v>2400.0</v>
      </c>
      <c r="J34" s="36"/>
      <c r="K34" s="25">
        <f t="shared" si="1"/>
        <v>0</v>
      </c>
      <c r="L34" s="25">
        <f>IF(I34=0,"",I34/F34*G34*LOOKUP(B34,L!A:A,L!C:C))</f>
        <v>12857.14286</v>
      </c>
      <c r="M34" s="26">
        <f>IF(L34=MIN(L33:L35),1,0)</f>
        <v>1</v>
      </c>
    </row>
    <row r="35" ht="15.0" hidden="1" customHeight="1">
      <c r="A35" s="17" t="s">
        <v>57</v>
      </c>
      <c r="B35" s="28">
        <v>4.0</v>
      </c>
      <c r="C35" s="29" t="s">
        <v>61</v>
      </c>
      <c r="D35" s="21"/>
      <c r="E35" s="21"/>
      <c r="F35" s="30">
        <v>140.0</v>
      </c>
      <c r="G35" s="30">
        <v>1000.0</v>
      </c>
      <c r="H35" s="35"/>
      <c r="I35" s="36"/>
      <c r="J35" s="36"/>
      <c r="K35" s="25">
        <f t="shared" si="1"/>
        <v>0</v>
      </c>
      <c r="L35" s="25" t="str">
        <f>IF(I35=0,"",I35/F35*G35*LOOKUP(B35,L!A:A,L!C:C))</f>
        <v/>
      </c>
      <c r="M35" s="26">
        <f>IF(L35=MIN(L33:L35),1,0)</f>
        <v>0</v>
      </c>
    </row>
    <row r="36" ht="15.0" hidden="1" customHeight="1">
      <c r="A36" s="17" t="s">
        <v>62</v>
      </c>
      <c r="B36" s="18">
        <v>6.0</v>
      </c>
      <c r="C36" s="19" t="s">
        <v>63</v>
      </c>
      <c r="D36" s="20"/>
      <c r="E36" s="20"/>
      <c r="F36" s="38">
        <v>15000.0</v>
      </c>
      <c r="G36" s="22">
        <v>1000.0</v>
      </c>
      <c r="H36" s="23"/>
      <c r="I36" s="24"/>
      <c r="J36" s="24"/>
      <c r="K36" s="25">
        <f t="shared" si="1"/>
        <v>0</v>
      </c>
      <c r="L36" s="25" t="str">
        <f>IF(I36=0,"",I36/F36*G36*LOOKUP(B36,L!A:A,L!C:C))</f>
        <v/>
      </c>
      <c r="M36" s="26">
        <f>IF(L36=MIN(L36:L38),1,0)</f>
        <v>0</v>
      </c>
    </row>
    <row r="37" ht="15.0" hidden="1" customHeight="1">
      <c r="A37" s="27" t="s">
        <v>62</v>
      </c>
      <c r="B37" s="28">
        <v>2.0</v>
      </c>
      <c r="C37" s="29" t="s">
        <v>63</v>
      </c>
      <c r="D37" s="21"/>
      <c r="E37" s="21"/>
      <c r="F37" s="32">
        <v>3000.0</v>
      </c>
      <c r="G37" s="30">
        <v>1000.0</v>
      </c>
      <c r="H37" s="23"/>
      <c r="I37" s="31">
        <v>13000.0</v>
      </c>
      <c r="J37" s="31"/>
      <c r="K37" s="25">
        <f t="shared" si="1"/>
        <v>0</v>
      </c>
      <c r="L37" s="25">
        <f>IF(I37=0,"",I37/F37*G37*LOOKUP(B37,L!A:A,L!C:C))</f>
        <v>3250</v>
      </c>
      <c r="M37" s="26">
        <f>IF(L37=MIN(L36:L38),1,0)</f>
        <v>1</v>
      </c>
    </row>
    <row r="38" ht="15.0" hidden="1" customHeight="1">
      <c r="A38" s="17" t="s">
        <v>62</v>
      </c>
      <c r="B38" s="28">
        <v>4.0</v>
      </c>
      <c r="C38" s="29" t="s">
        <v>63</v>
      </c>
      <c r="D38" s="21"/>
      <c r="E38" s="21" t="s">
        <v>64</v>
      </c>
      <c r="F38" s="32">
        <v>3000.0</v>
      </c>
      <c r="G38" s="30">
        <v>1000.0</v>
      </c>
      <c r="H38" s="23"/>
      <c r="I38" s="24">
        <v>13450.0</v>
      </c>
      <c r="J38" s="31"/>
      <c r="K38" s="25">
        <f t="shared" si="1"/>
        <v>0</v>
      </c>
      <c r="L38" s="25">
        <f>IF(I38=0,"",I38/F38*G38*LOOKUP(B38,L!A:A,L!C:C))</f>
        <v>4483.333333</v>
      </c>
      <c r="M38" s="26">
        <f>IF(L38=MIN(L36:L38),1,0)</f>
        <v>0</v>
      </c>
    </row>
    <row r="39" ht="15.0" hidden="1" customHeight="1">
      <c r="A39" s="33" t="s">
        <v>65</v>
      </c>
      <c r="B39" s="18">
        <v>1.0</v>
      </c>
      <c r="C39" s="29" t="s">
        <v>66</v>
      </c>
      <c r="D39" s="21"/>
      <c r="E39" s="21"/>
      <c r="F39" s="22">
        <v>1000.0</v>
      </c>
      <c r="G39" s="22">
        <v>1000.0</v>
      </c>
      <c r="H39" s="23"/>
      <c r="I39" s="24"/>
      <c r="J39" s="24"/>
      <c r="K39" s="25">
        <f t="shared" si="1"/>
        <v>0</v>
      </c>
      <c r="L39" s="25" t="str">
        <f>IF(I39=0,"",I39/F39*G39*LOOKUP(B39,L!A:A,L!C:C))</f>
        <v/>
      </c>
      <c r="M39" s="26">
        <f>IF(L39=MIN(L39:L41),1,0)</f>
        <v>0</v>
      </c>
    </row>
    <row r="40" ht="15.0" hidden="1" customHeight="1">
      <c r="A40" s="33" t="s">
        <v>65</v>
      </c>
      <c r="B40" s="28">
        <v>2.0</v>
      </c>
      <c r="C40" s="29" t="s">
        <v>66</v>
      </c>
      <c r="D40" s="20"/>
      <c r="E40" s="20" t="s">
        <v>67</v>
      </c>
      <c r="F40" s="22">
        <v>1000.0</v>
      </c>
      <c r="G40" s="30">
        <v>1000.0</v>
      </c>
      <c r="H40" s="23"/>
      <c r="I40" s="36"/>
      <c r="J40" s="36"/>
      <c r="K40" s="25">
        <f t="shared" si="1"/>
        <v>0</v>
      </c>
      <c r="L40" s="25" t="str">
        <f>IF(I40=0,"",I40/F40*G40*LOOKUP(B40,L!A:A,L!C:C))</f>
        <v/>
      </c>
      <c r="M40" s="26">
        <f>IF(L40=MIN(L39:L41),1,0)</f>
        <v>0</v>
      </c>
    </row>
    <row r="41" ht="15.0" hidden="1" customHeight="1">
      <c r="A41" s="33" t="s">
        <v>65</v>
      </c>
      <c r="B41" s="28">
        <v>4.0</v>
      </c>
      <c r="C41" s="29" t="s">
        <v>66</v>
      </c>
      <c r="D41" s="21"/>
      <c r="E41" s="21"/>
      <c r="F41" s="22">
        <v>1000.0</v>
      </c>
      <c r="G41" s="30">
        <v>1000.0</v>
      </c>
      <c r="H41" s="35"/>
      <c r="I41" s="36"/>
      <c r="J41" s="36"/>
      <c r="K41" s="25">
        <f t="shared" si="1"/>
        <v>0</v>
      </c>
      <c r="L41" s="25" t="str">
        <f>IF(I41=0,"",I41/F41*G41*LOOKUP(B41,L!A:A,L!C:C))</f>
        <v/>
      </c>
      <c r="M41" s="26">
        <f>IF(L41=MIN(L39:L41),1,0)</f>
        <v>0</v>
      </c>
    </row>
    <row r="42" ht="15.0" hidden="1" customHeight="1">
      <c r="A42" s="17" t="s">
        <v>68</v>
      </c>
      <c r="B42" s="18">
        <v>1.0</v>
      </c>
      <c r="C42" s="19" t="s">
        <v>69</v>
      </c>
      <c r="D42" s="21"/>
      <c r="E42" s="21"/>
      <c r="F42" s="38">
        <v>20.0</v>
      </c>
      <c r="G42" s="22">
        <v>1000.0</v>
      </c>
      <c r="H42" s="23"/>
      <c r="I42" s="24">
        <v>2650.0</v>
      </c>
      <c r="J42" s="24"/>
      <c r="K42" s="25">
        <f t="shared" si="1"/>
        <v>0</v>
      </c>
      <c r="L42" s="25">
        <f>IF(I42=0,"",I42/F42*G42*LOOKUP(B42,L!A:A,L!C:C))</f>
        <v>86125</v>
      </c>
      <c r="M42" s="26">
        <f>IF(L42=MIN(L42:L44),1,0)</f>
        <v>1</v>
      </c>
    </row>
    <row r="43" ht="15.0" hidden="1" customHeight="1">
      <c r="A43" s="27" t="s">
        <v>68</v>
      </c>
      <c r="B43" s="28">
        <v>2.0</v>
      </c>
      <c r="C43" s="29" t="s">
        <v>69</v>
      </c>
      <c r="D43" s="21"/>
      <c r="E43" s="21"/>
      <c r="F43" s="30">
        <v>20.0</v>
      </c>
      <c r="G43" s="30">
        <v>1000.0</v>
      </c>
      <c r="H43" s="23"/>
      <c r="I43" s="36"/>
      <c r="J43" s="36"/>
      <c r="K43" s="25">
        <f t="shared" si="1"/>
        <v>0</v>
      </c>
      <c r="L43" s="25" t="str">
        <f>IF(I43=0,"",I43/F43*G43*LOOKUP(B43,L!A:A,L!C:C))</f>
        <v/>
      </c>
      <c r="M43" s="26">
        <f>IF(L43=MIN(L42:L44),1,0)</f>
        <v>0</v>
      </c>
    </row>
    <row r="44" ht="15.0" hidden="1" customHeight="1">
      <c r="A44" s="17" t="s">
        <v>68</v>
      </c>
      <c r="B44" s="28">
        <v>4.0</v>
      </c>
      <c r="C44" s="29" t="s">
        <v>69</v>
      </c>
      <c r="D44" s="21"/>
      <c r="E44" s="21"/>
      <c r="F44" s="32">
        <v>20.0</v>
      </c>
      <c r="G44" s="30">
        <v>1000.0</v>
      </c>
      <c r="H44" s="23"/>
      <c r="I44" s="36"/>
      <c r="J44" s="36"/>
      <c r="K44" s="25">
        <f t="shared" si="1"/>
        <v>0</v>
      </c>
      <c r="L44" s="25" t="str">
        <f>IF(I44=0,"",I44/F44*G44*LOOKUP(B44,L!A:A,L!C:C))</f>
        <v/>
      </c>
      <c r="M44" s="26">
        <f>IF(L44=MIN(L42:L44),1,0)</f>
        <v>0</v>
      </c>
    </row>
    <row r="45" ht="15.0" hidden="1" customHeight="1">
      <c r="A45" s="17" t="s">
        <v>55</v>
      </c>
      <c r="B45" s="18">
        <v>1.0</v>
      </c>
      <c r="C45" s="19" t="s">
        <v>70</v>
      </c>
      <c r="D45" s="21"/>
      <c r="E45" s="21"/>
      <c r="F45" s="22">
        <v>1.0</v>
      </c>
      <c r="G45" s="22">
        <v>1.0</v>
      </c>
      <c r="H45" s="35"/>
      <c r="I45" s="34"/>
      <c r="J45" s="34"/>
      <c r="K45" s="25">
        <f t="shared" si="1"/>
        <v>0</v>
      </c>
      <c r="L45" s="25" t="str">
        <f>IF(I45=0,"",I45/F45*G45*LOOKUP(B45,L!A:A,L!C:C))</f>
        <v/>
      </c>
      <c r="M45" s="26">
        <f>IF(L45=MIN(L45:L47),1,0)</f>
        <v>0</v>
      </c>
    </row>
    <row r="46" ht="15.0" hidden="1" customHeight="1">
      <c r="A46" s="27" t="s">
        <v>55</v>
      </c>
      <c r="B46" s="28">
        <v>2.0</v>
      </c>
      <c r="C46" s="29" t="s">
        <v>70</v>
      </c>
      <c r="D46" s="21"/>
      <c r="E46" s="21"/>
      <c r="F46" s="30"/>
      <c r="G46" s="30">
        <v>1.0</v>
      </c>
      <c r="H46" s="35"/>
      <c r="I46" s="36"/>
      <c r="J46" s="36"/>
      <c r="K46" s="25">
        <f t="shared" si="1"/>
        <v>0</v>
      </c>
      <c r="L46" s="25" t="str">
        <f>IF(I46=0,"",I46/F46*G46*LOOKUP(B46,L!A:A,L!C:C))</f>
        <v/>
      </c>
      <c r="M46" s="26">
        <f>IF(L46=MIN(L45:L47),1,0)</f>
        <v>0</v>
      </c>
    </row>
    <row r="47" ht="15.0" hidden="1" customHeight="1">
      <c r="A47" s="17" t="s">
        <v>55</v>
      </c>
      <c r="B47" s="28">
        <v>4.0</v>
      </c>
      <c r="C47" s="29" t="s">
        <v>70</v>
      </c>
      <c r="D47" s="21"/>
      <c r="E47" s="21"/>
      <c r="F47" s="30"/>
      <c r="G47" s="30">
        <v>1.0</v>
      </c>
      <c r="H47" s="35"/>
      <c r="I47" s="36"/>
      <c r="J47" s="36"/>
      <c r="K47" s="25">
        <f t="shared" si="1"/>
        <v>0</v>
      </c>
      <c r="L47" s="25" t="str">
        <f>IF(I47=0,"",I47/F47*G47*LOOKUP(B47,L!A:A,L!C:C))</f>
        <v/>
      </c>
      <c r="M47" s="26">
        <f>IF(L47=MIN(L45:L47),1,0)</f>
        <v>0</v>
      </c>
    </row>
    <row r="48" ht="15.0" hidden="1" customHeight="1">
      <c r="A48" s="33" t="s">
        <v>71</v>
      </c>
      <c r="B48" s="18">
        <v>1.0</v>
      </c>
      <c r="C48" s="19" t="s">
        <v>72</v>
      </c>
      <c r="D48" s="21"/>
      <c r="E48" s="20" t="s">
        <v>73</v>
      </c>
      <c r="F48" s="38">
        <v>500.0</v>
      </c>
      <c r="G48" s="22">
        <v>1000.0</v>
      </c>
      <c r="H48" s="23"/>
      <c r="I48" s="24">
        <v>896.35</v>
      </c>
      <c r="J48" s="24"/>
      <c r="K48" s="25">
        <f t="shared" si="1"/>
        <v>0</v>
      </c>
      <c r="L48" s="25">
        <f>IF(I48=0,"",I48/F48*G48*LOOKUP(B48,L!A:A,L!C:C))</f>
        <v>1165.255</v>
      </c>
      <c r="M48" s="26">
        <f>IF(L48=MIN(L48:L50),1,0)</f>
        <v>1</v>
      </c>
    </row>
    <row r="49" ht="15.0" hidden="1" customHeight="1">
      <c r="A49" s="33" t="s">
        <v>71</v>
      </c>
      <c r="B49" s="28">
        <v>2.0</v>
      </c>
      <c r="C49" s="29" t="s">
        <v>72</v>
      </c>
      <c r="D49" s="21"/>
      <c r="E49" s="21" t="s">
        <v>74</v>
      </c>
      <c r="F49" s="30">
        <v>1000.0</v>
      </c>
      <c r="G49" s="30">
        <v>1000.0</v>
      </c>
      <c r="H49" s="23"/>
      <c r="I49" s="31">
        <v>1950.0</v>
      </c>
      <c r="J49" s="31"/>
      <c r="K49" s="25">
        <f t="shared" si="1"/>
        <v>0</v>
      </c>
      <c r="L49" s="25">
        <f>IF(I49=0,"",I49/F49*G49*LOOKUP(B49,L!A:A,L!C:C))</f>
        <v>1462.5</v>
      </c>
      <c r="M49" s="26">
        <f>IF(L49=MIN(L48:L50),1,0)</f>
        <v>0</v>
      </c>
    </row>
    <row r="50" ht="15.0" hidden="1" customHeight="1">
      <c r="A50" s="33" t="s">
        <v>71</v>
      </c>
      <c r="B50" s="28">
        <v>6.0</v>
      </c>
      <c r="C50" s="39" t="s">
        <v>75</v>
      </c>
      <c r="D50" s="21"/>
      <c r="E50" s="21"/>
      <c r="F50" s="32">
        <v>500.0</v>
      </c>
      <c r="G50" s="30">
        <v>1000.0</v>
      </c>
      <c r="H50" s="23"/>
      <c r="I50" s="31"/>
      <c r="J50" s="31"/>
      <c r="K50" s="25">
        <f t="shared" si="1"/>
        <v>0</v>
      </c>
      <c r="L50" s="25" t="str">
        <f>IF(I50=0,"",I50/F50*G50*LOOKUP(B50,L!A:A,L!C:C))</f>
        <v/>
      </c>
      <c r="M50" s="26">
        <f>IF(L50=MIN(L48:L50),1,0)</f>
        <v>0</v>
      </c>
    </row>
    <row r="51" ht="15.0" hidden="1" customHeight="1">
      <c r="A51" s="33" t="s">
        <v>71</v>
      </c>
      <c r="B51" s="18">
        <v>1.0</v>
      </c>
      <c r="C51" s="19" t="s">
        <v>76</v>
      </c>
      <c r="D51" s="20"/>
      <c r="E51" s="20"/>
      <c r="F51" s="22">
        <v>1000.0</v>
      </c>
      <c r="G51" s="22">
        <v>1000.0</v>
      </c>
      <c r="H51" s="23"/>
      <c r="I51" s="24">
        <v>2318.09</v>
      </c>
      <c r="J51" s="24"/>
      <c r="K51" s="25">
        <f t="shared" si="1"/>
        <v>0</v>
      </c>
      <c r="L51" s="25">
        <f>IF(I51=0,"",I51/F51*G51*LOOKUP(B51,L!A:A,L!C:C))</f>
        <v>1506.7585</v>
      </c>
      <c r="M51" s="26">
        <f>IF(L51=MIN(L51:L53),1,0)</f>
        <v>1</v>
      </c>
    </row>
    <row r="52" ht="15.0" hidden="1" customHeight="1">
      <c r="A52" s="33" t="s">
        <v>71</v>
      </c>
      <c r="B52" s="28">
        <v>6.0</v>
      </c>
      <c r="C52" s="29" t="s">
        <v>76</v>
      </c>
      <c r="D52" s="21"/>
      <c r="E52" s="21" t="s">
        <v>77</v>
      </c>
      <c r="F52" s="32">
        <v>500.0</v>
      </c>
      <c r="G52" s="30">
        <v>1000.0</v>
      </c>
      <c r="H52" s="23"/>
      <c r="I52" s="31"/>
      <c r="J52" s="31"/>
      <c r="K52" s="25">
        <f t="shared" si="1"/>
        <v>0</v>
      </c>
      <c r="L52" s="25" t="str">
        <f>IF(I52=0,"",I52/F52*G52*LOOKUP(B52,L!A:A,L!C:C))</f>
        <v/>
      </c>
      <c r="M52" s="26">
        <f>IF(L52=MIN(L51:L53),1,0)</f>
        <v>0</v>
      </c>
    </row>
    <row r="53" ht="15.0" hidden="1" customHeight="1">
      <c r="A53" s="33" t="s">
        <v>71</v>
      </c>
      <c r="B53" s="28">
        <v>4.0</v>
      </c>
      <c r="C53" s="29" t="s">
        <v>76</v>
      </c>
      <c r="D53" s="21"/>
      <c r="E53" s="21"/>
      <c r="F53" s="32">
        <v>500.0</v>
      </c>
      <c r="G53" s="30">
        <v>1000.0</v>
      </c>
      <c r="H53" s="23"/>
      <c r="I53" s="31"/>
      <c r="J53" s="31"/>
      <c r="K53" s="25">
        <f t="shared" si="1"/>
        <v>0</v>
      </c>
      <c r="L53" s="25" t="str">
        <f>IF(I53=0,"",I53/F53*G53*LOOKUP(B53,L!A:A,L!C:C))</f>
        <v/>
      </c>
      <c r="M53" s="26">
        <f>IF(L53=MIN(L51:L53),1,0)</f>
        <v>0</v>
      </c>
    </row>
    <row r="54" ht="15.0" hidden="1" customHeight="1">
      <c r="A54" s="33" t="s">
        <v>78</v>
      </c>
      <c r="B54" s="18">
        <v>3.0</v>
      </c>
      <c r="C54" s="19" t="s">
        <v>79</v>
      </c>
      <c r="D54" s="21"/>
      <c r="E54" s="21"/>
      <c r="F54" s="38">
        <v>240.0</v>
      </c>
      <c r="G54" s="22">
        <v>1000.0</v>
      </c>
      <c r="H54" s="23"/>
      <c r="I54" s="24">
        <v>4899.0</v>
      </c>
      <c r="J54" s="34"/>
      <c r="K54" s="25">
        <f t="shared" si="1"/>
        <v>0</v>
      </c>
      <c r="L54" s="25">
        <f>IF(I54=0,"",I54/F54*G54*LOOKUP(B54,L!A:A,L!C:C))</f>
        <v>15309.375</v>
      </c>
      <c r="M54" s="26">
        <f>IF(L54=MIN(L54:L56),1,0)</f>
        <v>1</v>
      </c>
    </row>
    <row r="55" ht="15.0" hidden="1" customHeight="1">
      <c r="A55" s="33" t="s">
        <v>78</v>
      </c>
      <c r="B55" s="28">
        <v>2.0</v>
      </c>
      <c r="C55" s="29" t="s">
        <v>79</v>
      </c>
      <c r="D55" s="21"/>
      <c r="E55" s="21"/>
      <c r="F55" s="30">
        <v>140.0</v>
      </c>
      <c r="G55" s="30">
        <v>1000.0</v>
      </c>
      <c r="H55" s="23"/>
      <c r="I55" s="31">
        <v>3200.0</v>
      </c>
      <c r="J55" s="31"/>
      <c r="K55" s="25">
        <f t="shared" si="1"/>
        <v>0</v>
      </c>
      <c r="L55" s="25">
        <f>IF(I55=0,"",I55/F55*G55*LOOKUP(B55,L!A:A,L!C:C))</f>
        <v>17142.85714</v>
      </c>
      <c r="M55" s="26">
        <f>IF(L55=MIN(L54:L56),1,0)</f>
        <v>0</v>
      </c>
    </row>
    <row r="56" ht="15.0" hidden="1" customHeight="1">
      <c r="A56" s="33" t="s">
        <v>78</v>
      </c>
      <c r="B56" s="28">
        <v>4.0</v>
      </c>
      <c r="C56" s="29" t="s">
        <v>79</v>
      </c>
      <c r="D56" s="21"/>
      <c r="E56" s="20" t="s">
        <v>80</v>
      </c>
      <c r="F56" s="30">
        <v>170.0</v>
      </c>
      <c r="G56" s="30">
        <v>1000.0</v>
      </c>
      <c r="H56" s="23"/>
      <c r="I56" s="31">
        <v>3490.0</v>
      </c>
      <c r="J56" s="31"/>
      <c r="K56" s="25">
        <f t="shared" si="1"/>
        <v>0</v>
      </c>
      <c r="L56" s="25">
        <f>IF(I56=0,"",I56/F56*G56*LOOKUP(B56,L!A:A,L!C:C))</f>
        <v>20529.41176</v>
      </c>
      <c r="M56" s="26">
        <f>IF(L56=MIN(L54:L56),1,0)</f>
        <v>0</v>
      </c>
    </row>
    <row r="57" ht="15.0" hidden="1" customHeight="1">
      <c r="A57" s="17" t="s">
        <v>68</v>
      </c>
      <c r="B57" s="18">
        <v>1.0</v>
      </c>
      <c r="C57" s="19" t="s">
        <v>81</v>
      </c>
      <c r="D57" s="21"/>
      <c r="E57" s="21"/>
      <c r="F57" s="22"/>
      <c r="G57" s="22">
        <v>1.0</v>
      </c>
      <c r="H57" s="35"/>
      <c r="I57" s="34"/>
      <c r="J57" s="34"/>
      <c r="K57" s="25">
        <f t="shared" si="1"/>
        <v>0</v>
      </c>
      <c r="L57" s="25" t="str">
        <f>IF(I57=0,"",I57/F57*G57*LOOKUP(B57,L!A:A,L!C:C))</f>
        <v/>
      </c>
      <c r="M57" s="26">
        <f>IF(L57=MIN(L57:L59),1,0)</f>
        <v>0</v>
      </c>
    </row>
    <row r="58" ht="15.0" hidden="1" customHeight="1">
      <c r="A58" s="27" t="s">
        <v>68</v>
      </c>
      <c r="B58" s="28">
        <v>2.0</v>
      </c>
      <c r="C58" s="29" t="s">
        <v>81</v>
      </c>
      <c r="D58" s="20"/>
      <c r="E58" s="20" t="s">
        <v>82</v>
      </c>
      <c r="F58" s="30">
        <v>1.0</v>
      </c>
      <c r="G58" s="30">
        <v>1.0</v>
      </c>
      <c r="H58" s="23"/>
      <c r="I58" s="31">
        <v>4500.0</v>
      </c>
      <c r="J58" s="31"/>
      <c r="K58" s="25">
        <f t="shared" si="1"/>
        <v>0</v>
      </c>
      <c r="L58" s="25">
        <f>IF(I58=0,"",I58/F58*G58*LOOKUP(B58,L!A:A,L!C:C))</f>
        <v>3375</v>
      </c>
      <c r="M58" s="26">
        <f>IF(L58=MIN(L57:L59),1,0)</f>
        <v>1</v>
      </c>
    </row>
    <row r="59" ht="15.0" hidden="1" customHeight="1">
      <c r="A59" s="17" t="s">
        <v>68</v>
      </c>
      <c r="B59" s="28">
        <v>3.0</v>
      </c>
      <c r="C59" s="29" t="s">
        <v>81</v>
      </c>
      <c r="D59" s="21"/>
      <c r="E59" s="21"/>
      <c r="F59" s="32">
        <v>1.0</v>
      </c>
      <c r="G59" s="30">
        <v>1.0</v>
      </c>
      <c r="H59" s="23"/>
      <c r="I59" s="31">
        <v>18199.0</v>
      </c>
      <c r="J59" s="31"/>
      <c r="K59" s="25">
        <f t="shared" si="1"/>
        <v>0</v>
      </c>
      <c r="L59" s="25">
        <f>IF(I59=0,"",I59/F59*G59*LOOKUP(B59,L!A:A,L!C:C))</f>
        <v>13649.25</v>
      </c>
      <c r="M59" s="26">
        <f>IF(L59=MIN(L57:L59),1,0)</f>
        <v>0</v>
      </c>
    </row>
    <row r="60" ht="15.0" hidden="1" customHeight="1">
      <c r="A60" s="33" t="s">
        <v>71</v>
      </c>
      <c r="B60" s="18">
        <v>1.0</v>
      </c>
      <c r="C60" s="19" t="s">
        <v>83</v>
      </c>
      <c r="D60" s="21"/>
      <c r="E60" s="21"/>
      <c r="F60" s="22">
        <v>400.0</v>
      </c>
      <c r="G60" s="22">
        <v>1000.0</v>
      </c>
      <c r="H60" s="23"/>
      <c r="I60" s="24">
        <v>1812.25</v>
      </c>
      <c r="J60" s="34"/>
      <c r="K60" s="25">
        <f t="shared" si="1"/>
        <v>0</v>
      </c>
      <c r="L60" s="25">
        <f>IF(I60=0,"",I60/F60*G60*LOOKUP(B60,L!A:A,L!C:C))</f>
        <v>2944.90625</v>
      </c>
      <c r="M60" s="26">
        <f>IF(L60=MIN(L60:L62),1,0)</f>
        <v>1</v>
      </c>
    </row>
    <row r="61" ht="15.0" hidden="1" customHeight="1">
      <c r="A61" s="33" t="s">
        <v>71</v>
      </c>
      <c r="B61" s="28">
        <v>2.0</v>
      </c>
      <c r="C61" s="29" t="s">
        <v>83</v>
      </c>
      <c r="D61" s="21"/>
      <c r="E61" s="21"/>
      <c r="F61" s="30">
        <v>300.0</v>
      </c>
      <c r="G61" s="30">
        <v>1000.0</v>
      </c>
      <c r="H61" s="35"/>
      <c r="I61" s="36"/>
      <c r="J61" s="36"/>
      <c r="K61" s="25">
        <f t="shared" si="1"/>
        <v>0</v>
      </c>
      <c r="L61" s="25" t="str">
        <f>IF(I61=0,"",I61/F61*G61*LOOKUP(B61,L!A:A,L!C:C))</f>
        <v/>
      </c>
      <c r="M61" s="26">
        <f>IF(L61=MIN(L60:L62),1,0)</f>
        <v>0</v>
      </c>
    </row>
    <row r="62" ht="15.0" hidden="1" customHeight="1">
      <c r="A62" s="33" t="s">
        <v>71</v>
      </c>
      <c r="B62" s="28">
        <v>4.0</v>
      </c>
      <c r="C62" s="29" t="s">
        <v>83</v>
      </c>
      <c r="D62" s="21"/>
      <c r="E62" s="21"/>
      <c r="F62" s="30"/>
      <c r="G62" s="30">
        <v>1000.0</v>
      </c>
      <c r="H62" s="35"/>
      <c r="I62" s="36"/>
      <c r="J62" s="36"/>
      <c r="K62" s="25">
        <f t="shared" si="1"/>
        <v>0</v>
      </c>
      <c r="L62" s="25" t="str">
        <f>IF(I62=0,"",I62/F62*G62*LOOKUP(B62,L!A:A,L!C:C))</f>
        <v/>
      </c>
      <c r="M62" s="26">
        <f>IF(L62=MIN(L60:L62),1,0)</f>
        <v>0</v>
      </c>
    </row>
    <row r="63" ht="15.0" hidden="1" customHeight="1">
      <c r="A63" s="27" t="s">
        <v>84</v>
      </c>
      <c r="B63" s="18">
        <v>1.0</v>
      </c>
      <c r="C63" s="29" t="s">
        <v>85</v>
      </c>
      <c r="D63" s="22"/>
      <c r="E63" s="22"/>
      <c r="F63" s="22">
        <v>1000.0</v>
      </c>
      <c r="G63" s="22">
        <v>1000.0</v>
      </c>
      <c r="H63" s="23"/>
      <c r="I63" s="24">
        <v>1800.99</v>
      </c>
      <c r="J63" s="24"/>
      <c r="K63" s="25">
        <f t="shared" si="1"/>
        <v>0</v>
      </c>
      <c r="L63" s="25">
        <f>IF(I63=0,"",I63/F63*G63*LOOKUP(B63,L!A:A,L!C:C))</f>
        <v>1170.6435</v>
      </c>
      <c r="M63" s="26">
        <f>IF(L63=MIN(L63:L65),1,0)</f>
        <v>1</v>
      </c>
    </row>
    <row r="64" ht="15.0" hidden="1" customHeight="1">
      <c r="A64" s="27" t="s">
        <v>84</v>
      </c>
      <c r="B64" s="28">
        <v>2.0</v>
      </c>
      <c r="C64" s="29" t="s">
        <v>85</v>
      </c>
      <c r="D64" s="21"/>
      <c r="E64" s="21" t="s">
        <v>86</v>
      </c>
      <c r="F64" s="30">
        <v>1000.0</v>
      </c>
      <c r="G64" s="30">
        <v>1000.0</v>
      </c>
      <c r="H64" s="23"/>
      <c r="I64" s="31"/>
      <c r="J64" s="31"/>
      <c r="K64" s="25">
        <f t="shared" si="1"/>
        <v>0</v>
      </c>
      <c r="L64" s="25" t="str">
        <f>IF(I64=0,"",I64/F64*G64*LOOKUP(B64,L!A:A,L!C:C))</f>
        <v/>
      </c>
      <c r="M64" s="26">
        <f>IF(L64=MIN(L63:L65),1,0)</f>
        <v>0</v>
      </c>
    </row>
    <row r="65" ht="15.0" hidden="1" customHeight="1">
      <c r="A65" s="17" t="s">
        <v>84</v>
      </c>
      <c r="B65" s="28">
        <v>4.0</v>
      </c>
      <c r="C65" s="29" t="s">
        <v>85</v>
      </c>
      <c r="D65" s="21"/>
      <c r="E65" s="21"/>
      <c r="F65" s="30">
        <v>1000.0</v>
      </c>
      <c r="G65" s="30">
        <v>1000.0</v>
      </c>
      <c r="H65" s="23">
        <v>0.0</v>
      </c>
      <c r="I65" s="31"/>
      <c r="J65" s="31"/>
      <c r="K65" s="25">
        <f t="shared" si="1"/>
        <v>0</v>
      </c>
      <c r="L65" s="25" t="str">
        <f>IF(I65=0,"",I65/F65*G65*LOOKUP(B65,L!A:A,L!C:C))</f>
        <v/>
      </c>
      <c r="M65" s="26">
        <f>IF(L65=MIN(L63:L65),1,0)</f>
        <v>0</v>
      </c>
    </row>
    <row r="66" ht="15.0" customHeight="1">
      <c r="A66" s="33" t="s">
        <v>65</v>
      </c>
      <c r="B66" s="18">
        <v>1.0</v>
      </c>
      <c r="C66" s="29" t="s">
        <v>87</v>
      </c>
      <c r="D66" s="21"/>
      <c r="E66" s="21"/>
      <c r="F66" s="22">
        <v>1000.0</v>
      </c>
      <c r="G66" s="22">
        <v>1000.0</v>
      </c>
      <c r="H66" s="23">
        <v>0.0</v>
      </c>
      <c r="I66" s="24">
        <v>4920.0</v>
      </c>
      <c r="J66" s="24"/>
      <c r="K66" s="25">
        <f t="shared" si="1"/>
        <v>0</v>
      </c>
      <c r="L66" s="25">
        <f>IF(I66=0,"",I66/F66*G66*LOOKUP(B66,L!A:A,L!C:C))</f>
        <v>3198</v>
      </c>
      <c r="M66" s="26">
        <f>IF(L66=MIN(L66:L68),1,0)</f>
        <v>0</v>
      </c>
    </row>
    <row r="67" ht="15.0" hidden="1" customHeight="1">
      <c r="A67" s="33" t="s">
        <v>65</v>
      </c>
      <c r="B67" s="28">
        <v>2.0</v>
      </c>
      <c r="C67" s="29" t="s">
        <v>87</v>
      </c>
      <c r="D67" s="21"/>
      <c r="E67" s="21"/>
      <c r="F67" s="30">
        <v>1000.0</v>
      </c>
      <c r="G67" s="30">
        <v>1000.0</v>
      </c>
      <c r="H67" s="23"/>
      <c r="I67" s="24">
        <f>2990</f>
        <v>2990</v>
      </c>
      <c r="J67" s="24"/>
      <c r="K67" s="25">
        <f t="shared" si="1"/>
        <v>0</v>
      </c>
      <c r="L67" s="25">
        <f>IF(I67=0,"",I67/F67*G67*LOOKUP(B67,L!A:A,L!C:C))</f>
        <v>2242.5</v>
      </c>
      <c r="M67" s="26">
        <f>IF(L67=MIN(L66:L68),1,0)</f>
        <v>0</v>
      </c>
    </row>
    <row r="68" ht="15.0" hidden="1" customHeight="1">
      <c r="A68" s="33" t="s">
        <v>65</v>
      </c>
      <c r="B68" s="28">
        <v>3.0</v>
      </c>
      <c r="C68" s="29" t="s">
        <v>87</v>
      </c>
      <c r="D68" s="21"/>
      <c r="E68" s="21"/>
      <c r="F68" s="30">
        <v>1000.0</v>
      </c>
      <c r="G68" s="30">
        <v>1000.0</v>
      </c>
      <c r="H68" s="23">
        <v>1.775</v>
      </c>
      <c r="I68" s="31">
        <v>2450.0</v>
      </c>
      <c r="J68" s="31"/>
      <c r="K68" s="25">
        <f t="shared" si="1"/>
        <v>4348.75</v>
      </c>
      <c r="L68" s="25">
        <f>IF(I68=0,"",I68/F68*G68*LOOKUP(B68,L!A:A,L!C:C))</f>
        <v>1837.5</v>
      </c>
      <c r="M68" s="26">
        <f>IF(L68=MIN(L66:L68),1,0)</f>
        <v>1</v>
      </c>
    </row>
    <row r="69" ht="15.0" hidden="1" customHeight="1">
      <c r="A69" s="17" t="s">
        <v>55</v>
      </c>
      <c r="B69" s="18">
        <v>4.0</v>
      </c>
      <c r="C69" s="19" t="s">
        <v>88</v>
      </c>
      <c r="D69" s="21"/>
      <c r="E69" s="21"/>
      <c r="F69" s="22">
        <v>1000.0</v>
      </c>
      <c r="G69" s="22">
        <v>1000.0</v>
      </c>
      <c r="H69" s="35"/>
      <c r="I69" s="34"/>
      <c r="J69" s="34"/>
      <c r="K69" s="25">
        <f t="shared" si="1"/>
        <v>0</v>
      </c>
      <c r="L69" s="25" t="str">
        <f>IF(I69=0,"",I69/F69*G69*LOOKUP(B69,L!A:A,L!C:C))</f>
        <v/>
      </c>
      <c r="M69" s="26">
        <f>IF(L69=MIN(L69:L71),1,0)</f>
        <v>0</v>
      </c>
    </row>
    <row r="70" ht="15.0" hidden="1" customHeight="1">
      <c r="A70" s="17" t="s">
        <v>55</v>
      </c>
      <c r="B70" s="18">
        <v>1.0</v>
      </c>
      <c r="C70" s="19" t="s">
        <v>88</v>
      </c>
      <c r="D70" s="21"/>
      <c r="E70" s="21"/>
      <c r="F70" s="22">
        <v>1000.0</v>
      </c>
      <c r="G70" s="22">
        <v>1000.0</v>
      </c>
      <c r="H70" s="35"/>
      <c r="I70" s="34"/>
      <c r="J70" s="34"/>
      <c r="K70" s="25">
        <f t="shared" si="1"/>
        <v>0</v>
      </c>
      <c r="L70" s="25" t="str">
        <f>IF(I70=0,"",I70/F70*G70*LOOKUP(B70,L!A:A,L!C:C))</f>
        <v/>
      </c>
      <c r="M70" s="26">
        <f>IF(L70=MIN(L69:L71),1,0)</f>
        <v>0</v>
      </c>
    </row>
    <row r="71" ht="15.0" hidden="1" customHeight="1">
      <c r="A71" s="27" t="s">
        <v>55</v>
      </c>
      <c r="B71" s="28">
        <v>2.0</v>
      </c>
      <c r="C71" s="29" t="s">
        <v>88</v>
      </c>
      <c r="D71" s="21"/>
      <c r="E71" s="21"/>
      <c r="F71" s="30">
        <v>1000.0</v>
      </c>
      <c r="G71" s="30">
        <v>1000.0</v>
      </c>
      <c r="H71" s="35"/>
      <c r="I71" s="36"/>
      <c r="J71" s="36"/>
      <c r="K71" s="25">
        <f t="shared" si="1"/>
        <v>0</v>
      </c>
      <c r="L71" s="25" t="str">
        <f>IF(I71=0,"",I71/F71*G71*LOOKUP(B71,L!A:A,L!C:C))</f>
        <v/>
      </c>
      <c r="M71" s="26">
        <f>IF(L71=MIN(L69:L71),1,0)</f>
        <v>0</v>
      </c>
    </row>
    <row r="72" ht="15.0" hidden="1" customHeight="1">
      <c r="A72" s="17" t="s">
        <v>89</v>
      </c>
      <c r="B72" s="18">
        <v>1.0</v>
      </c>
      <c r="C72" s="19" t="s">
        <v>90</v>
      </c>
      <c r="D72" s="21"/>
      <c r="E72" s="21"/>
      <c r="F72" s="22">
        <v>1.0</v>
      </c>
      <c r="G72" s="22">
        <v>1.0</v>
      </c>
      <c r="H72" s="35"/>
      <c r="I72" s="34"/>
      <c r="J72" s="34"/>
      <c r="K72" s="25">
        <f t="shared" si="1"/>
        <v>0</v>
      </c>
      <c r="L72" s="25" t="str">
        <f>IF(I72=0,"",I72/F72*G72*LOOKUP(B72,L!A:A,L!C:C))</f>
        <v/>
      </c>
      <c r="M72" s="26">
        <f>IF(L72=MIN(L72:L74),1,0)</f>
        <v>0</v>
      </c>
    </row>
    <row r="73" ht="15.0" hidden="1" customHeight="1">
      <c r="A73" s="27" t="s">
        <v>89</v>
      </c>
      <c r="B73" s="28">
        <v>2.0</v>
      </c>
      <c r="C73" s="29" t="s">
        <v>90</v>
      </c>
      <c r="D73" s="21"/>
      <c r="E73" s="21"/>
      <c r="F73" s="30"/>
      <c r="G73" s="30">
        <v>1.0</v>
      </c>
      <c r="H73" s="35"/>
      <c r="I73" s="36"/>
      <c r="J73" s="36"/>
      <c r="K73" s="25">
        <f t="shared" si="1"/>
        <v>0</v>
      </c>
      <c r="L73" s="25" t="str">
        <f>IF(I73=0,"",I73/F73*G73*LOOKUP(B73,L!A:A,L!C:C))</f>
        <v/>
      </c>
      <c r="M73" s="26">
        <f>IF(L73=MIN(L72:L74),1,0)</f>
        <v>0</v>
      </c>
    </row>
    <row r="74" ht="15.0" hidden="1" customHeight="1">
      <c r="A74" s="17" t="s">
        <v>89</v>
      </c>
      <c r="B74" s="28">
        <v>4.0</v>
      </c>
      <c r="C74" s="29" t="s">
        <v>90</v>
      </c>
      <c r="D74" s="21"/>
      <c r="E74" s="21"/>
      <c r="F74" s="30"/>
      <c r="G74" s="30">
        <v>1.0</v>
      </c>
      <c r="H74" s="35"/>
      <c r="I74" s="36"/>
      <c r="J74" s="36"/>
      <c r="K74" s="25">
        <f t="shared" si="1"/>
        <v>0</v>
      </c>
      <c r="L74" s="25" t="str">
        <f>IF(I74=0,"",I74/F74*G74*LOOKUP(B74,L!A:A,L!C:C))</f>
        <v/>
      </c>
      <c r="M74" s="26">
        <f>IF(L74=MIN(L72:L74),1,0)</f>
        <v>0</v>
      </c>
    </row>
    <row r="75" ht="15.0" hidden="1" customHeight="1">
      <c r="A75" s="17" t="s">
        <v>41</v>
      </c>
      <c r="B75" s="18">
        <v>1.0</v>
      </c>
      <c r="C75" s="19" t="s">
        <v>91</v>
      </c>
      <c r="D75" s="21"/>
      <c r="E75" s="21"/>
      <c r="F75" s="22">
        <v>15.0</v>
      </c>
      <c r="G75" s="22">
        <v>1000.0</v>
      </c>
      <c r="H75" s="23"/>
      <c r="I75" s="24">
        <v>678.15</v>
      </c>
      <c r="J75" s="24"/>
      <c r="K75" s="25">
        <f t="shared" si="1"/>
        <v>0</v>
      </c>
      <c r="L75" s="25">
        <f>IF(I75=0,"",I75/F75*G75*LOOKUP(B75,L!A:A,L!C:C))</f>
        <v>29386.5</v>
      </c>
      <c r="M75" s="26">
        <f>IF(L75=MIN(L75:L77),1,0)</f>
        <v>1</v>
      </c>
    </row>
    <row r="76" ht="15.0" hidden="1" customHeight="1">
      <c r="A76" s="27" t="s">
        <v>41</v>
      </c>
      <c r="B76" s="28">
        <v>2.0</v>
      </c>
      <c r="C76" s="29" t="s">
        <v>91</v>
      </c>
      <c r="D76" s="21"/>
      <c r="E76" s="21"/>
      <c r="F76" s="30"/>
      <c r="G76" s="30">
        <v>1000.0</v>
      </c>
      <c r="H76" s="23"/>
      <c r="I76" s="36"/>
      <c r="J76" s="36"/>
      <c r="K76" s="25">
        <f t="shared" si="1"/>
        <v>0</v>
      </c>
      <c r="L76" s="25" t="str">
        <f>IF(I76=0,"",I76/F76*G76*LOOKUP(B76,L!A:A,L!C:C))</f>
        <v/>
      </c>
      <c r="M76" s="26">
        <f>IF(L76=MIN(L75:L77),1,0)</f>
        <v>0</v>
      </c>
    </row>
    <row r="77" ht="15.0" hidden="1" customHeight="1">
      <c r="A77" s="17" t="s">
        <v>41</v>
      </c>
      <c r="B77" s="28">
        <v>4.0</v>
      </c>
      <c r="C77" s="29" t="s">
        <v>91</v>
      </c>
      <c r="D77" s="21"/>
      <c r="E77" s="21"/>
      <c r="F77" s="30"/>
      <c r="G77" s="30">
        <v>1000.0</v>
      </c>
      <c r="H77" s="35"/>
      <c r="I77" s="36"/>
      <c r="J77" s="36"/>
      <c r="K77" s="25">
        <f t="shared" si="1"/>
        <v>0</v>
      </c>
      <c r="L77" s="25" t="str">
        <f>IF(I77=0,"",I77/F77*G77*LOOKUP(B77,L!A:A,L!C:C))</f>
        <v/>
      </c>
      <c r="M77" s="26">
        <f>IF(L77=MIN(L75:L77),1,0)</f>
        <v>0</v>
      </c>
    </row>
    <row r="78" ht="15.0" hidden="1" customHeight="1">
      <c r="A78" s="17" t="s">
        <v>59</v>
      </c>
      <c r="B78" s="18">
        <v>1.0</v>
      </c>
      <c r="C78" s="19" t="s">
        <v>92</v>
      </c>
      <c r="D78" s="21"/>
      <c r="E78" s="21"/>
      <c r="F78" s="22">
        <v>400.0</v>
      </c>
      <c r="G78" s="22">
        <v>1000.0</v>
      </c>
      <c r="H78" s="35"/>
      <c r="I78" s="34">
        <v>1749.89</v>
      </c>
      <c r="J78" s="34"/>
      <c r="K78" s="25">
        <f t="shared" si="1"/>
        <v>0</v>
      </c>
      <c r="L78" s="25">
        <f>IF(I78=0,"",I78/F78*G78*LOOKUP(B78,L!A:A,L!C:C))</f>
        <v>2843.57125</v>
      </c>
      <c r="M78" s="26">
        <f>IF(L78=MIN(L78:L80),1,0)</f>
        <v>1</v>
      </c>
    </row>
    <row r="79" ht="15.0" hidden="1" customHeight="1">
      <c r="A79" s="27" t="s">
        <v>59</v>
      </c>
      <c r="B79" s="28">
        <v>2.0</v>
      </c>
      <c r="C79" s="29" t="s">
        <v>92</v>
      </c>
      <c r="D79" s="21"/>
      <c r="E79" s="21"/>
      <c r="F79" s="30"/>
      <c r="G79" s="30">
        <v>1000.0</v>
      </c>
      <c r="H79" s="35"/>
      <c r="I79" s="36"/>
      <c r="J79" s="36"/>
      <c r="K79" s="25">
        <f t="shared" si="1"/>
        <v>0</v>
      </c>
      <c r="L79" s="25" t="str">
        <f>IF(I79=0,"",I79/F79*G79*LOOKUP(B79,L!A:A,L!C:C))</f>
        <v/>
      </c>
      <c r="M79" s="26">
        <f>IF(L79=MIN(L78:L80),1,0)</f>
        <v>0</v>
      </c>
    </row>
    <row r="80" ht="15.0" hidden="1" customHeight="1">
      <c r="A80" s="17" t="s">
        <v>59</v>
      </c>
      <c r="B80" s="28">
        <v>4.0</v>
      </c>
      <c r="C80" s="29" t="s">
        <v>92</v>
      </c>
      <c r="D80" s="21"/>
      <c r="E80" s="21"/>
      <c r="F80" s="30"/>
      <c r="G80" s="30">
        <v>1000.0</v>
      </c>
      <c r="H80" s="35"/>
      <c r="I80" s="36"/>
      <c r="J80" s="36"/>
      <c r="K80" s="25">
        <f t="shared" si="1"/>
        <v>0</v>
      </c>
      <c r="L80" s="25" t="str">
        <f>IF(I80=0,"",I80/F80*G80*LOOKUP(B80,L!A:A,L!C:C))</f>
        <v/>
      </c>
      <c r="M80" s="26">
        <f>IF(L80=MIN(L78:L80),1,0)</f>
        <v>0</v>
      </c>
    </row>
    <row r="81" ht="15.0" hidden="1" customHeight="1">
      <c r="A81" s="17" t="s">
        <v>68</v>
      </c>
      <c r="B81" s="18">
        <v>1.0</v>
      </c>
      <c r="C81" s="19" t="s">
        <v>93</v>
      </c>
      <c r="D81" s="21"/>
      <c r="E81" s="21"/>
      <c r="F81" s="22">
        <v>1.0</v>
      </c>
      <c r="G81" s="22">
        <v>1.0</v>
      </c>
      <c r="H81" s="23"/>
      <c r="I81" s="24">
        <v>67.5</v>
      </c>
      <c r="J81" s="24"/>
      <c r="K81" s="25">
        <f t="shared" si="1"/>
        <v>0</v>
      </c>
      <c r="L81" s="25">
        <f>IF(I81=0,"",I81/F81*G81*LOOKUP(B81,L!A:A,L!C:C))</f>
        <v>43.875</v>
      </c>
      <c r="M81" s="26">
        <f>IF(L81=MIN(L81:L83),1,0)</f>
        <v>1</v>
      </c>
    </row>
    <row r="82" ht="15.0" hidden="1" customHeight="1">
      <c r="A82" s="27" t="s">
        <v>68</v>
      </c>
      <c r="B82" s="28">
        <v>3.0</v>
      </c>
      <c r="C82" s="29" t="s">
        <v>93</v>
      </c>
      <c r="D82" s="21"/>
      <c r="E82" s="21"/>
      <c r="F82" s="30">
        <v>1.0</v>
      </c>
      <c r="G82" s="30">
        <v>1.0</v>
      </c>
      <c r="H82" s="23">
        <v>2.0</v>
      </c>
      <c r="I82" s="31">
        <f>80</f>
        <v>80</v>
      </c>
      <c r="J82" s="31"/>
      <c r="K82" s="25">
        <f t="shared" si="1"/>
        <v>160</v>
      </c>
      <c r="L82" s="25">
        <f>IF(I82=0,"",I82/F82*G82*LOOKUP(B82,L!A:A,L!C:C))</f>
        <v>60</v>
      </c>
      <c r="M82" s="26">
        <f>IF(L82=MIN(L81:L83),1,0)</f>
        <v>0</v>
      </c>
    </row>
    <row r="83" ht="15.0" hidden="1" customHeight="1">
      <c r="A83" s="17" t="s">
        <v>68</v>
      </c>
      <c r="B83" s="28">
        <v>4.0</v>
      </c>
      <c r="C83" s="29" t="s">
        <v>93</v>
      </c>
      <c r="D83" s="21"/>
      <c r="E83" s="21"/>
      <c r="F83" s="32">
        <v>1.0</v>
      </c>
      <c r="G83" s="30">
        <v>1.0</v>
      </c>
      <c r="H83" s="23"/>
      <c r="I83" s="31">
        <v>97.0</v>
      </c>
      <c r="J83" s="36"/>
      <c r="K83" s="25">
        <f t="shared" si="1"/>
        <v>0</v>
      </c>
      <c r="L83" s="25">
        <f>IF(I83=0,"",I83/F83*G83*LOOKUP(B83,L!A:A,L!C:C))</f>
        <v>97</v>
      </c>
      <c r="M83" s="26">
        <f>IF(L83=MIN(L81:L83),1,0)</f>
        <v>0</v>
      </c>
    </row>
    <row r="84" ht="15.0" hidden="1" customHeight="1">
      <c r="A84" s="33" t="s">
        <v>68</v>
      </c>
      <c r="B84" s="18">
        <v>1.0</v>
      </c>
      <c r="C84" s="37" t="s">
        <v>94</v>
      </c>
      <c r="D84" s="21"/>
      <c r="E84" s="20" t="s">
        <v>95</v>
      </c>
      <c r="F84" s="38">
        <v>1.0</v>
      </c>
      <c r="G84" s="38">
        <v>1000.0</v>
      </c>
      <c r="H84" s="23"/>
      <c r="I84" s="24">
        <v>5491.0</v>
      </c>
      <c r="J84" s="24"/>
      <c r="K84" s="25">
        <f t="shared" si="1"/>
        <v>0</v>
      </c>
      <c r="L84" s="25">
        <f>IF(I84=0,"",I84/F84*G84*LOOKUP(B84,L!A:A,L!C:C))</f>
        <v>3569150</v>
      </c>
      <c r="M84" s="26">
        <f>IF(L84=MIN(L84:L86),1,0)</f>
        <v>1</v>
      </c>
    </row>
    <row r="85" ht="15.0" hidden="1" customHeight="1">
      <c r="A85" s="33" t="s">
        <v>68</v>
      </c>
      <c r="B85" s="28">
        <v>2.0</v>
      </c>
      <c r="C85" s="37" t="s">
        <v>94</v>
      </c>
      <c r="D85" s="21"/>
      <c r="E85" s="21"/>
      <c r="F85" s="32">
        <v>1.0</v>
      </c>
      <c r="G85" s="38">
        <v>1000.0</v>
      </c>
      <c r="H85" s="35"/>
      <c r="I85" s="36"/>
      <c r="J85" s="36"/>
      <c r="K85" s="25">
        <f t="shared" si="1"/>
        <v>0</v>
      </c>
      <c r="L85" s="25" t="str">
        <f>IF(I85=0,"",I85/F85*G85*LOOKUP(B85,L!A:A,L!C:C))</f>
        <v/>
      </c>
      <c r="M85" s="26">
        <f>IF(L85=MIN(L84:L86),1,0)</f>
        <v>0</v>
      </c>
    </row>
    <row r="86" ht="15.0" hidden="1" customHeight="1">
      <c r="A86" s="33" t="s">
        <v>68</v>
      </c>
      <c r="B86" s="28">
        <v>4.0</v>
      </c>
      <c r="C86" s="37" t="s">
        <v>94</v>
      </c>
      <c r="D86" s="21"/>
      <c r="E86" s="21"/>
      <c r="F86" s="32">
        <v>1.0</v>
      </c>
      <c r="G86" s="38">
        <v>1000.0</v>
      </c>
      <c r="H86" s="35"/>
      <c r="I86" s="36"/>
      <c r="J86" s="36"/>
      <c r="K86" s="25">
        <f t="shared" si="1"/>
        <v>0</v>
      </c>
      <c r="L86" s="25" t="str">
        <f>IF(I86=0,"",I86/F86*G86*LOOKUP(B86,L!A:A,L!C:C))</f>
        <v/>
      </c>
      <c r="M86" s="26">
        <f>IF(L86=MIN(L84:L86),1,0)</f>
        <v>0</v>
      </c>
    </row>
    <row r="87" ht="15.0" hidden="1" customHeight="1">
      <c r="A87" s="17" t="s">
        <v>89</v>
      </c>
      <c r="B87" s="18">
        <v>1.0</v>
      </c>
      <c r="C87" s="19" t="s">
        <v>96</v>
      </c>
      <c r="D87" s="21"/>
      <c r="E87" s="21"/>
      <c r="F87" s="22">
        <v>250.0</v>
      </c>
      <c r="G87" s="22">
        <v>1000.0</v>
      </c>
      <c r="H87" s="23"/>
      <c r="I87" s="24">
        <f>+2751.85</f>
        <v>2751.85</v>
      </c>
      <c r="J87" s="24"/>
      <c r="K87" s="25">
        <f t="shared" si="1"/>
        <v>0</v>
      </c>
      <c r="L87" s="25">
        <f>IF(I87=0,"",I87/F87*G87*LOOKUP(B87,L!A:A,L!C:C))</f>
        <v>7154.81</v>
      </c>
      <c r="M87" s="26">
        <f>IF(L87=MIN(L87:L89),1,0)</f>
        <v>1</v>
      </c>
    </row>
    <row r="88" ht="15.0" hidden="1" customHeight="1">
      <c r="A88" s="27" t="s">
        <v>89</v>
      </c>
      <c r="B88" s="28">
        <v>2.0</v>
      </c>
      <c r="C88" s="29" t="s">
        <v>96</v>
      </c>
      <c r="D88" s="21"/>
      <c r="E88" s="21"/>
      <c r="F88" s="30">
        <v>215.0</v>
      </c>
      <c r="G88" s="30">
        <v>1000.0</v>
      </c>
      <c r="H88" s="35"/>
      <c r="I88" s="36"/>
      <c r="J88" s="36"/>
      <c r="K88" s="25">
        <f t="shared" si="1"/>
        <v>0</v>
      </c>
      <c r="L88" s="25" t="str">
        <f>IF(I88=0,"",I88/F88*G88*LOOKUP(B88,L!A:A,L!C:C))</f>
        <v/>
      </c>
      <c r="M88" s="26">
        <f>IF(L88=MIN(L87:L89),1,0)</f>
        <v>0</v>
      </c>
    </row>
    <row r="89" ht="15.0" hidden="1" customHeight="1">
      <c r="A89" s="17" t="s">
        <v>89</v>
      </c>
      <c r="B89" s="28">
        <v>4.0</v>
      </c>
      <c r="C89" s="29" t="s">
        <v>96</v>
      </c>
      <c r="D89" s="21"/>
      <c r="E89" s="21"/>
      <c r="F89" s="30"/>
      <c r="G89" s="30">
        <v>1000.0</v>
      </c>
      <c r="H89" s="35"/>
      <c r="I89" s="36"/>
      <c r="J89" s="36"/>
      <c r="K89" s="25">
        <f t="shared" si="1"/>
        <v>0</v>
      </c>
      <c r="L89" s="25" t="str">
        <f>IF(I89=0,"",I89/F89*G89*LOOKUP(B89,L!A:A,L!C:C))</f>
        <v/>
      </c>
      <c r="M89" s="26">
        <f>IF(L89=MIN(L87:L89),1,0)</f>
        <v>0</v>
      </c>
    </row>
    <row r="90" ht="15.0" hidden="1" customHeight="1">
      <c r="A90" s="17" t="s">
        <v>84</v>
      </c>
      <c r="B90" s="18">
        <v>1.0</v>
      </c>
      <c r="C90" s="19" t="s">
        <v>97</v>
      </c>
      <c r="D90" s="21"/>
      <c r="E90" s="20" t="s">
        <v>98</v>
      </c>
      <c r="F90" s="22">
        <v>170.0</v>
      </c>
      <c r="G90" s="22">
        <v>1000.0</v>
      </c>
      <c r="H90" s="23"/>
      <c r="I90" s="24">
        <v>8202.49</v>
      </c>
      <c r="J90" s="24"/>
      <c r="K90" s="25">
        <f t="shared" si="1"/>
        <v>0</v>
      </c>
      <c r="L90" s="25">
        <f>IF(I90=0,"",I90/F90*G90*LOOKUP(B90,L!A:A,L!C:C))</f>
        <v>31362.46176</v>
      </c>
      <c r="M90" s="26">
        <f>IF(L90=MIN(L90:L92),1,0)</f>
        <v>1</v>
      </c>
    </row>
    <row r="91" ht="15.0" hidden="1" customHeight="1">
      <c r="A91" s="27" t="s">
        <v>84</v>
      </c>
      <c r="B91" s="28">
        <v>6.0</v>
      </c>
      <c r="C91" s="29" t="s">
        <v>97</v>
      </c>
      <c r="D91" s="21"/>
      <c r="E91" s="21" t="s">
        <v>99</v>
      </c>
      <c r="F91" s="32">
        <v>125.0</v>
      </c>
      <c r="G91" s="30">
        <v>1000.0</v>
      </c>
      <c r="H91" s="23"/>
      <c r="I91" s="31"/>
      <c r="J91" s="31"/>
      <c r="K91" s="25">
        <f t="shared" si="1"/>
        <v>0</v>
      </c>
      <c r="L91" s="25" t="str">
        <f>IF(I91=0,"",I91/F91*G91*LOOKUP(B91,L!A:A,L!C:C))</f>
        <v/>
      </c>
      <c r="M91" s="26">
        <f>IF(L91=MIN(L90:L92),1,0)</f>
        <v>0</v>
      </c>
    </row>
    <row r="92" ht="15.0" hidden="1" customHeight="1">
      <c r="A92" s="17" t="s">
        <v>84</v>
      </c>
      <c r="B92" s="28">
        <v>4.0</v>
      </c>
      <c r="C92" s="29" t="s">
        <v>97</v>
      </c>
      <c r="D92" s="21"/>
      <c r="E92" s="20" t="s">
        <v>99</v>
      </c>
      <c r="F92" s="30">
        <v>170.0</v>
      </c>
      <c r="G92" s="30">
        <v>1000.0</v>
      </c>
      <c r="H92" s="23"/>
      <c r="I92" s="31"/>
      <c r="J92" s="31"/>
      <c r="K92" s="25">
        <f t="shared" si="1"/>
        <v>0</v>
      </c>
      <c r="L92" s="25" t="str">
        <f>IF(I92=0,"",I92/F92*G92*LOOKUP(B92,L!A:A,L!C:C))</f>
        <v/>
      </c>
      <c r="M92" s="26">
        <f>IF(L92=MIN(L90:L92),1,0)</f>
        <v>0</v>
      </c>
    </row>
    <row r="93" ht="15.0" hidden="1" customHeight="1">
      <c r="A93" s="33" t="s">
        <v>46</v>
      </c>
      <c r="B93" s="18">
        <v>1.0</v>
      </c>
      <c r="C93" s="29" t="s">
        <v>100</v>
      </c>
      <c r="D93" s="21"/>
      <c r="E93" s="21"/>
      <c r="F93" s="38">
        <v>6500.0</v>
      </c>
      <c r="G93" s="22">
        <v>1000.0</v>
      </c>
      <c r="H93" s="23"/>
      <c r="I93" s="24">
        <v>1127.0</v>
      </c>
      <c r="J93" s="24"/>
      <c r="K93" s="25">
        <f t="shared" si="1"/>
        <v>0</v>
      </c>
      <c r="L93" s="25">
        <f>IF(I93=0,"",I93/F93*G93*LOOKUP(B93,L!A:A,L!C:C))</f>
        <v>112.7</v>
      </c>
      <c r="M93" s="26">
        <f>IF(L93=MIN(L93:L95),1,0)</f>
        <v>1</v>
      </c>
    </row>
    <row r="94" ht="15.0" hidden="1" customHeight="1">
      <c r="A94" s="33" t="s">
        <v>46</v>
      </c>
      <c r="B94" s="28">
        <v>2.0</v>
      </c>
      <c r="C94" s="29" t="s">
        <v>100</v>
      </c>
      <c r="D94" s="21"/>
      <c r="E94" s="21"/>
      <c r="F94" s="30">
        <v>1000.0</v>
      </c>
      <c r="G94" s="30">
        <v>1000.0</v>
      </c>
      <c r="H94" s="23"/>
      <c r="I94" s="36"/>
      <c r="J94" s="36"/>
      <c r="K94" s="25">
        <f t="shared" si="1"/>
        <v>0</v>
      </c>
      <c r="L94" s="25" t="str">
        <f>IF(I94=0,"",I94/F94*G94*LOOKUP(B94,L!A:A,L!C:C))</f>
        <v/>
      </c>
      <c r="M94" s="26">
        <f>IF(L94=MIN(L93:L95),1,0)</f>
        <v>0</v>
      </c>
    </row>
    <row r="95" ht="15.0" hidden="1" customHeight="1">
      <c r="A95" s="33" t="s">
        <v>46</v>
      </c>
      <c r="B95" s="28">
        <v>4.0</v>
      </c>
      <c r="C95" s="29" t="s">
        <v>100</v>
      </c>
      <c r="D95" s="21"/>
      <c r="E95" s="21"/>
      <c r="F95" s="32">
        <v>1000.0</v>
      </c>
      <c r="G95" s="30">
        <v>1000.0</v>
      </c>
      <c r="H95" s="35"/>
      <c r="I95" s="31"/>
      <c r="J95" s="31"/>
      <c r="K95" s="25">
        <f t="shared" si="1"/>
        <v>0</v>
      </c>
      <c r="L95" s="25" t="str">
        <f>IF(I95=0,"",I95/F95*G95*LOOKUP(B95,L!A:A,L!C:C))</f>
        <v/>
      </c>
      <c r="M95" s="26">
        <f>IF(L95=MIN(L93:L95),1,0)</f>
        <v>0</v>
      </c>
    </row>
    <row r="96" ht="15.0" hidden="1" customHeight="1">
      <c r="A96" s="17" t="s">
        <v>41</v>
      </c>
      <c r="B96" s="18">
        <v>1.0</v>
      </c>
      <c r="C96" s="19" t="s">
        <v>101</v>
      </c>
      <c r="D96" s="21"/>
      <c r="E96" s="21"/>
      <c r="F96" s="38">
        <v>12.0</v>
      </c>
      <c r="G96" s="22">
        <v>1.0</v>
      </c>
      <c r="H96" s="23"/>
      <c r="I96" s="24">
        <v>2436.25</v>
      </c>
      <c r="J96" s="24"/>
      <c r="K96" s="25">
        <f t="shared" si="1"/>
        <v>0</v>
      </c>
      <c r="L96" s="25">
        <f>IF(I96=0,"",I96/F96*G96*LOOKUP(B96,L!A:A,L!C:C))</f>
        <v>131.9635417</v>
      </c>
      <c r="M96" s="26">
        <f>IF(L96=MIN(L96:L98),1,0)</f>
        <v>1</v>
      </c>
    </row>
    <row r="97" ht="15.0" hidden="1" customHeight="1">
      <c r="A97" s="27" t="s">
        <v>41</v>
      </c>
      <c r="B97" s="28">
        <v>2.0</v>
      </c>
      <c r="C97" s="29" t="s">
        <v>101</v>
      </c>
      <c r="D97" s="20"/>
      <c r="E97" s="20" t="s">
        <v>102</v>
      </c>
      <c r="F97" s="30">
        <v>12.0</v>
      </c>
      <c r="G97" s="30">
        <v>1.0</v>
      </c>
      <c r="H97" s="23"/>
      <c r="I97" s="31">
        <v>3200.0</v>
      </c>
      <c r="J97" s="31"/>
      <c r="K97" s="25">
        <f t="shared" si="1"/>
        <v>0</v>
      </c>
      <c r="L97" s="25">
        <f>IF(I97=0,"",I97/F97*G97*LOOKUP(B97,L!A:A,L!C:C))</f>
        <v>200</v>
      </c>
      <c r="M97" s="26">
        <f>IF(L97=MIN(L96:L98),1,0)</f>
        <v>0</v>
      </c>
    </row>
    <row r="98" ht="15.0" hidden="1" customHeight="1">
      <c r="A98" s="17" t="s">
        <v>41</v>
      </c>
      <c r="B98" s="28">
        <v>3.0</v>
      </c>
      <c r="C98" s="29" t="s">
        <v>101</v>
      </c>
      <c r="D98" s="21"/>
      <c r="E98" s="21"/>
      <c r="F98" s="32">
        <v>12.0</v>
      </c>
      <c r="G98" s="30">
        <v>1.0</v>
      </c>
      <c r="H98" s="23"/>
      <c r="I98" s="31">
        <v>3049.0</v>
      </c>
      <c r="J98" s="36"/>
      <c r="K98" s="25">
        <f t="shared" si="1"/>
        <v>0</v>
      </c>
      <c r="L98" s="25">
        <f>IF(I98=0,"",I98/F98*G98*LOOKUP(B98,L!A:A,L!C:C))</f>
        <v>190.5625</v>
      </c>
      <c r="M98" s="26">
        <f>IF(L98=MIN(L96:L98),1,0)</f>
        <v>0</v>
      </c>
    </row>
    <row r="99" ht="15.0" hidden="1" customHeight="1">
      <c r="A99" s="17" t="s">
        <v>59</v>
      </c>
      <c r="B99" s="18">
        <v>1.0</v>
      </c>
      <c r="C99" s="37" t="s">
        <v>103</v>
      </c>
      <c r="D99" s="20"/>
      <c r="E99" s="20"/>
      <c r="F99" s="22">
        <v>100.0</v>
      </c>
      <c r="G99" s="22">
        <v>1000.0</v>
      </c>
      <c r="H99" s="23"/>
      <c r="I99" s="24">
        <v>1000.0</v>
      </c>
      <c r="J99" s="24"/>
      <c r="K99" s="25">
        <f t="shared" si="1"/>
        <v>0</v>
      </c>
      <c r="L99" s="25">
        <f>IF(I99=0,"",I99/F99*G99*LOOKUP(B99,L!A:A,L!C:C))</f>
        <v>6500</v>
      </c>
      <c r="M99" s="26">
        <f>IF(L99=MIN(L99:L101),1,0)</f>
        <v>1</v>
      </c>
    </row>
    <row r="100" ht="15.0" hidden="1" customHeight="1">
      <c r="A100" s="27" t="s">
        <v>59</v>
      </c>
      <c r="B100" s="28">
        <v>2.0</v>
      </c>
      <c r="C100" s="37" t="s">
        <v>103</v>
      </c>
      <c r="D100" s="21"/>
      <c r="E100" s="21"/>
      <c r="F100" s="30"/>
      <c r="G100" s="30">
        <v>1000.0</v>
      </c>
      <c r="H100" s="23"/>
      <c r="I100" s="36"/>
      <c r="J100" s="36"/>
      <c r="K100" s="25">
        <f t="shared" si="1"/>
        <v>0</v>
      </c>
      <c r="L100" s="25" t="str">
        <f>IF(I100=0,"",I100/F100*G100*LOOKUP(B100,L!A:A,L!C:C))</f>
        <v/>
      </c>
      <c r="M100" s="26">
        <f>IF(L100=MIN(L99:L101),1,0)</f>
        <v>0</v>
      </c>
    </row>
    <row r="101" ht="15.0" hidden="1" customHeight="1">
      <c r="A101" s="17" t="s">
        <v>59</v>
      </c>
      <c r="B101" s="28">
        <v>4.0</v>
      </c>
      <c r="C101" s="37" t="s">
        <v>103</v>
      </c>
      <c r="D101" s="21"/>
      <c r="E101" s="20" t="s">
        <v>104</v>
      </c>
      <c r="F101" s="32">
        <v>100.0</v>
      </c>
      <c r="G101" s="30">
        <v>1000.0</v>
      </c>
      <c r="H101" s="23"/>
      <c r="I101" s="31"/>
      <c r="J101" s="36"/>
      <c r="K101" s="25">
        <f t="shared" si="1"/>
        <v>0</v>
      </c>
      <c r="L101" s="25" t="str">
        <f>IF(I101=0,"",I101/F101*G101*LOOKUP(B101,L!A:A,L!C:C))</f>
        <v/>
      </c>
      <c r="M101" s="26">
        <f>IF(L101=MIN(L99:L101),1,0)</f>
        <v>0</v>
      </c>
    </row>
    <row r="102" ht="15.0" hidden="1" customHeight="1">
      <c r="A102" s="33" t="s">
        <v>46</v>
      </c>
      <c r="B102" s="18">
        <v>1.0</v>
      </c>
      <c r="C102" s="29" t="s">
        <v>105</v>
      </c>
      <c r="D102" s="21"/>
      <c r="E102" s="21"/>
      <c r="F102" s="38">
        <v>1000.0</v>
      </c>
      <c r="G102" s="38">
        <v>1000.0</v>
      </c>
      <c r="H102" s="23"/>
      <c r="I102" s="24">
        <v>2061.0</v>
      </c>
      <c r="J102" s="24"/>
      <c r="K102" s="25">
        <f t="shared" si="1"/>
        <v>0</v>
      </c>
      <c r="L102" s="25">
        <f>IF(I102=0,"",I102/F102*G102*LOOKUP(B102,L!A:A,L!C:C))</f>
        <v>1339.65</v>
      </c>
      <c r="M102" s="26">
        <f>IF(L102=MIN(L102:L104),1,0)</f>
        <v>1</v>
      </c>
    </row>
    <row r="103" ht="15.0" hidden="1" customHeight="1">
      <c r="A103" s="33" t="s">
        <v>46</v>
      </c>
      <c r="B103" s="28">
        <v>2.0</v>
      </c>
      <c r="C103" s="29" t="s">
        <v>105</v>
      </c>
      <c r="D103" s="21"/>
      <c r="E103" s="21"/>
      <c r="F103" s="30">
        <v>1000.0</v>
      </c>
      <c r="G103" s="30">
        <v>1000.0</v>
      </c>
      <c r="H103" s="23"/>
      <c r="I103" s="36"/>
      <c r="J103" s="36"/>
      <c r="K103" s="25">
        <f t="shared" si="1"/>
        <v>0</v>
      </c>
      <c r="L103" s="25" t="str">
        <f>IF(I103=0,"",I103/F103*G103*LOOKUP(B103,L!A:A,L!C:C))</f>
        <v/>
      </c>
      <c r="M103" s="26">
        <f>IF(L103=MIN(L102:L104),1,0)</f>
        <v>0</v>
      </c>
    </row>
    <row r="104" ht="15.0" hidden="1" customHeight="1">
      <c r="A104" s="33" t="s">
        <v>46</v>
      </c>
      <c r="B104" s="28">
        <v>4.0</v>
      </c>
      <c r="C104" s="29" t="s">
        <v>105</v>
      </c>
      <c r="D104" s="21"/>
      <c r="E104" s="21"/>
      <c r="F104" s="30">
        <v>1000.0</v>
      </c>
      <c r="G104" s="30">
        <v>1000.0</v>
      </c>
      <c r="H104" s="23"/>
      <c r="I104" s="31"/>
      <c r="J104" s="31"/>
      <c r="K104" s="25">
        <f t="shared" si="1"/>
        <v>0</v>
      </c>
      <c r="L104" s="25" t="str">
        <f>IF(I104=0,"",I104/F104*G104*LOOKUP(B104,L!A:A,L!C:C))</f>
        <v/>
      </c>
      <c r="M104" s="26">
        <f>IF(L104=MIN(L102:L104),1,0)</f>
        <v>0</v>
      </c>
    </row>
    <row r="105" ht="15.0" hidden="1" customHeight="1">
      <c r="A105" s="17" t="s">
        <v>57</v>
      </c>
      <c r="B105" s="18">
        <v>1.0</v>
      </c>
      <c r="C105" s="19" t="s">
        <v>106</v>
      </c>
      <c r="D105" s="21"/>
      <c r="E105" s="21"/>
      <c r="F105" s="22">
        <v>1.0</v>
      </c>
      <c r="G105" s="22">
        <v>1.0</v>
      </c>
      <c r="H105" s="35"/>
      <c r="I105" s="34"/>
      <c r="J105" s="34"/>
      <c r="K105" s="25">
        <f t="shared" si="1"/>
        <v>0</v>
      </c>
      <c r="L105" s="25" t="str">
        <f>IF(I105=0,"",I105/F105*G105*LOOKUP(B105,L!A:A,L!C:C))</f>
        <v/>
      </c>
      <c r="M105" s="26">
        <f>IF(L105=MIN(L105:L107),1,0)</f>
        <v>0</v>
      </c>
    </row>
    <row r="106" ht="15.0" hidden="1" customHeight="1">
      <c r="A106" s="27" t="s">
        <v>57</v>
      </c>
      <c r="B106" s="28">
        <v>2.0</v>
      </c>
      <c r="C106" s="29" t="s">
        <v>106</v>
      </c>
      <c r="D106" s="21"/>
      <c r="E106" s="21"/>
      <c r="F106" s="30">
        <v>1.0</v>
      </c>
      <c r="G106" s="30">
        <v>1.0</v>
      </c>
      <c r="H106" s="35"/>
      <c r="I106" s="36"/>
      <c r="J106" s="36"/>
      <c r="K106" s="25">
        <f t="shared" si="1"/>
        <v>0</v>
      </c>
      <c r="L106" s="25" t="str">
        <f>IF(I106=0,"",I106/F106*G106*LOOKUP(B106,L!A:A,L!C:C))</f>
        <v/>
      </c>
      <c r="M106" s="26">
        <f>IF(L106=MIN(L105:L107),1,0)</f>
        <v>0</v>
      </c>
    </row>
    <row r="107" ht="15.0" hidden="1" customHeight="1">
      <c r="A107" s="17" t="s">
        <v>57</v>
      </c>
      <c r="B107" s="28">
        <v>4.0</v>
      </c>
      <c r="C107" s="29" t="s">
        <v>106</v>
      </c>
      <c r="D107" s="21"/>
      <c r="E107" s="21"/>
      <c r="F107" s="30">
        <v>3.0</v>
      </c>
      <c r="G107" s="30">
        <v>1.0</v>
      </c>
      <c r="H107" s="35"/>
      <c r="I107" s="36"/>
      <c r="J107" s="36"/>
      <c r="K107" s="25">
        <f t="shared" si="1"/>
        <v>0</v>
      </c>
      <c r="L107" s="25" t="str">
        <f>IF(I107=0,"",I107/F107*G107*LOOKUP(B107,L!A:A,L!C:C))</f>
        <v/>
      </c>
      <c r="M107" s="26">
        <f>IF(L107=MIN(L105:L107),1,0)</f>
        <v>0</v>
      </c>
    </row>
    <row r="108" ht="15.0" hidden="1" customHeight="1">
      <c r="A108" s="17" t="s">
        <v>55</v>
      </c>
      <c r="B108" s="18">
        <v>1.0</v>
      </c>
      <c r="C108" s="19" t="s">
        <v>107</v>
      </c>
      <c r="D108" s="21"/>
      <c r="E108" s="21"/>
      <c r="F108" s="22">
        <v>1000.0</v>
      </c>
      <c r="G108" s="22">
        <v>1000.0</v>
      </c>
      <c r="H108" s="35"/>
      <c r="I108" s="34"/>
      <c r="J108" s="34"/>
      <c r="K108" s="25">
        <f t="shared" si="1"/>
        <v>0</v>
      </c>
      <c r="L108" s="25" t="str">
        <f>IF(I108=0,"",I108/F108*G108*LOOKUP(B108,L!A:A,L!C:C))</f>
        <v/>
      </c>
      <c r="M108" s="26">
        <f>IF(L108=MIN(L108:L110),1,0)</f>
        <v>0</v>
      </c>
    </row>
    <row r="109" ht="15.0" hidden="1" customHeight="1">
      <c r="A109" s="27" t="s">
        <v>55</v>
      </c>
      <c r="B109" s="28">
        <v>2.0</v>
      </c>
      <c r="C109" s="29" t="s">
        <v>107</v>
      </c>
      <c r="D109" s="21"/>
      <c r="E109" s="21"/>
      <c r="F109" s="30"/>
      <c r="G109" s="30">
        <v>1000.0</v>
      </c>
      <c r="H109" s="35"/>
      <c r="I109" s="36"/>
      <c r="J109" s="36"/>
      <c r="K109" s="25">
        <f t="shared" si="1"/>
        <v>0</v>
      </c>
      <c r="L109" s="25" t="str">
        <f>IF(I109=0,"",I109/F109*G109*LOOKUP(B109,L!A:A,L!C:C))</f>
        <v/>
      </c>
      <c r="M109" s="26">
        <f>IF(L109=MIN(L108:L110),1,0)</f>
        <v>0</v>
      </c>
    </row>
    <row r="110" ht="15.0" hidden="1" customHeight="1">
      <c r="A110" s="17" t="s">
        <v>55</v>
      </c>
      <c r="B110" s="28">
        <v>4.0</v>
      </c>
      <c r="C110" s="29" t="s">
        <v>107</v>
      </c>
      <c r="D110" s="21"/>
      <c r="E110" s="21"/>
      <c r="F110" s="30"/>
      <c r="G110" s="30">
        <v>1000.0</v>
      </c>
      <c r="H110" s="35"/>
      <c r="I110" s="36"/>
      <c r="J110" s="36"/>
      <c r="K110" s="25">
        <f t="shared" si="1"/>
        <v>0</v>
      </c>
      <c r="L110" s="25" t="str">
        <f>IF(I110=0,"",I110/F110*G110*LOOKUP(B110,L!A:A,L!C:C))</f>
        <v/>
      </c>
      <c r="M110" s="26">
        <f>IF(L110=MIN(L108:L110),1,0)</f>
        <v>0</v>
      </c>
    </row>
    <row r="111" ht="15.0" hidden="1" customHeight="1">
      <c r="A111" s="17" t="s">
        <v>55</v>
      </c>
      <c r="B111" s="18">
        <v>1.0</v>
      </c>
      <c r="C111" s="19" t="s">
        <v>108</v>
      </c>
      <c r="D111" s="21"/>
      <c r="E111" s="21"/>
      <c r="F111" s="22">
        <v>1.0</v>
      </c>
      <c r="G111" s="22">
        <v>1000.0</v>
      </c>
      <c r="H111" s="23"/>
      <c r="I111" s="24">
        <v>1163.5</v>
      </c>
      <c r="J111" s="24"/>
      <c r="K111" s="25">
        <f t="shared" si="1"/>
        <v>0</v>
      </c>
      <c r="L111" s="25">
        <f>IF(I111=0,"",I111/F111*G111*LOOKUP(B111,L!A:A,L!C:C))</f>
        <v>756275</v>
      </c>
      <c r="M111" s="26">
        <f>IF(L111=MIN(L111:L113),1,0)</f>
        <v>1</v>
      </c>
    </row>
    <row r="112" ht="15.0" hidden="1" customHeight="1">
      <c r="A112" s="27" t="s">
        <v>55</v>
      </c>
      <c r="B112" s="28">
        <v>2.0</v>
      </c>
      <c r="C112" s="29" t="s">
        <v>108</v>
      </c>
      <c r="D112" s="21"/>
      <c r="E112" s="21"/>
      <c r="F112" s="30"/>
      <c r="G112" s="30">
        <v>1000.0</v>
      </c>
      <c r="H112" s="35"/>
      <c r="I112" s="36"/>
      <c r="J112" s="36"/>
      <c r="K112" s="25">
        <f t="shared" si="1"/>
        <v>0</v>
      </c>
      <c r="L112" s="25" t="str">
        <f>IF(I112=0,"",I112/F112*G112*LOOKUP(B112,L!A:A,L!C:C))</f>
        <v/>
      </c>
      <c r="M112" s="26">
        <f>IF(L112=MIN(L111:L113),1,0)</f>
        <v>0</v>
      </c>
    </row>
    <row r="113" ht="15.0" hidden="1" customHeight="1">
      <c r="A113" s="17" t="s">
        <v>55</v>
      </c>
      <c r="B113" s="28">
        <v>4.0</v>
      </c>
      <c r="C113" s="29" t="s">
        <v>108</v>
      </c>
      <c r="D113" s="21"/>
      <c r="E113" s="21"/>
      <c r="F113" s="30"/>
      <c r="G113" s="30">
        <v>1000.0</v>
      </c>
      <c r="H113" s="35"/>
      <c r="I113" s="36"/>
      <c r="J113" s="36"/>
      <c r="K113" s="25">
        <f t="shared" si="1"/>
        <v>0</v>
      </c>
      <c r="L113" s="25" t="str">
        <f>IF(I113=0,"",I113/F113*G113*LOOKUP(B113,L!A:A,L!C:C))</f>
        <v/>
      </c>
      <c r="M113" s="26">
        <f>IF(L113=MIN(L111:L113),1,0)</f>
        <v>0</v>
      </c>
    </row>
    <row r="114" ht="15.0" hidden="1" customHeight="1">
      <c r="A114" s="27" t="s">
        <v>59</v>
      </c>
      <c r="B114" s="18">
        <v>1.0</v>
      </c>
      <c r="C114" s="29" t="s">
        <v>109</v>
      </c>
      <c r="D114" s="21"/>
      <c r="E114" s="21"/>
      <c r="F114" s="38">
        <v>40.0</v>
      </c>
      <c r="G114" s="22">
        <v>1000.0</v>
      </c>
      <c r="H114" s="23"/>
      <c r="I114" s="24">
        <v>1353.25</v>
      </c>
      <c r="J114" s="24"/>
      <c r="K114" s="25">
        <f t="shared" si="1"/>
        <v>0</v>
      </c>
      <c r="L114" s="25">
        <f>IF(I114=0,"",I114/F114*G114*LOOKUP(B114,L!A:A,L!C:C))</f>
        <v>21990.3125</v>
      </c>
      <c r="M114" s="26">
        <f>IF(L114=MIN(L114:L116),1,0)</f>
        <v>1</v>
      </c>
    </row>
    <row r="115" ht="15.0" hidden="1" customHeight="1">
      <c r="A115" s="27" t="s">
        <v>59</v>
      </c>
      <c r="B115" s="28">
        <v>2.0</v>
      </c>
      <c r="C115" s="29" t="s">
        <v>109</v>
      </c>
      <c r="D115" s="21"/>
      <c r="E115" s="21"/>
      <c r="F115" s="30">
        <v>40.0</v>
      </c>
      <c r="G115" s="30">
        <v>1000.0</v>
      </c>
      <c r="H115" s="35"/>
      <c r="I115" s="36"/>
      <c r="J115" s="36"/>
      <c r="K115" s="25">
        <f t="shared" si="1"/>
        <v>0</v>
      </c>
      <c r="L115" s="25" t="str">
        <f>IF(I115=0,"",I115/F115*G115*LOOKUP(B115,L!A:A,L!C:C))</f>
        <v/>
      </c>
      <c r="M115" s="26">
        <f>IF(L115=MIN(L114:L116),1,0)</f>
        <v>0</v>
      </c>
    </row>
    <row r="116" ht="15.0" hidden="1" customHeight="1">
      <c r="A116" s="17" t="s">
        <v>59</v>
      </c>
      <c r="B116" s="28">
        <v>3.0</v>
      </c>
      <c r="C116" s="29" t="s">
        <v>109</v>
      </c>
      <c r="D116" s="21"/>
      <c r="E116" s="20" t="s">
        <v>110</v>
      </c>
      <c r="F116" s="32">
        <v>40.0</v>
      </c>
      <c r="G116" s="30">
        <v>1000.0</v>
      </c>
      <c r="H116" s="23"/>
      <c r="I116" s="31">
        <v>2469.0</v>
      </c>
      <c r="J116" s="36"/>
      <c r="K116" s="25">
        <f t="shared" si="1"/>
        <v>0</v>
      </c>
      <c r="L116" s="25">
        <f>IF(I116=0,"",I116/F116*G116*LOOKUP(B116,L!A:A,L!C:C))</f>
        <v>46293.75</v>
      </c>
      <c r="M116" s="26">
        <f>IF(L116=MIN(L114:L116),1,0)</f>
        <v>0</v>
      </c>
    </row>
    <row r="117" ht="15.0" hidden="1" customHeight="1">
      <c r="A117" s="17" t="s">
        <v>59</v>
      </c>
      <c r="B117" s="18">
        <v>1.0</v>
      </c>
      <c r="C117" s="19" t="s">
        <v>111</v>
      </c>
      <c r="D117" s="21"/>
      <c r="E117" s="21"/>
      <c r="F117" s="38">
        <v>150.0</v>
      </c>
      <c r="G117" s="22">
        <v>1000.0</v>
      </c>
      <c r="H117" s="23"/>
      <c r="I117" s="24">
        <v>2186.0</v>
      </c>
      <c r="J117" s="24"/>
      <c r="K117" s="25">
        <f t="shared" si="1"/>
        <v>0</v>
      </c>
      <c r="L117" s="25">
        <f>IF(I117=0,"",I117/F117*G117*LOOKUP(B117,L!A:A,L!C:C))</f>
        <v>9472.666667</v>
      </c>
      <c r="M117" s="26">
        <f>IF(L117=MIN(L117:L119),1,0)</f>
        <v>0</v>
      </c>
    </row>
    <row r="118" ht="15.0" hidden="1" customHeight="1">
      <c r="A118" s="27" t="s">
        <v>59</v>
      </c>
      <c r="B118" s="28">
        <v>2.0</v>
      </c>
      <c r="C118" s="29" t="s">
        <v>111</v>
      </c>
      <c r="D118" s="21"/>
      <c r="E118" s="21" t="s">
        <v>112</v>
      </c>
      <c r="F118" s="30">
        <v>360.0</v>
      </c>
      <c r="G118" s="30">
        <v>1000.0</v>
      </c>
      <c r="H118" s="23"/>
      <c r="I118" s="31">
        <v>2900.0</v>
      </c>
      <c r="J118" s="31"/>
      <c r="K118" s="25">
        <f t="shared" si="1"/>
        <v>0</v>
      </c>
      <c r="L118" s="25">
        <f>IF(I118=0,"",I118/F118*G118*LOOKUP(B118,L!A:A,L!C:C))</f>
        <v>6041.666667</v>
      </c>
      <c r="M118" s="26">
        <f>IF(L118=MIN(L117:L119),1,0)</f>
        <v>1</v>
      </c>
    </row>
    <row r="119" ht="15.0" hidden="1" customHeight="1">
      <c r="A119" s="17" t="s">
        <v>59</v>
      </c>
      <c r="B119" s="28">
        <v>4.0</v>
      </c>
      <c r="C119" s="29" t="s">
        <v>111</v>
      </c>
      <c r="D119" s="21"/>
      <c r="E119" s="21"/>
      <c r="F119" s="30">
        <v>150.0</v>
      </c>
      <c r="G119" s="30">
        <v>1000.0</v>
      </c>
      <c r="H119" s="23"/>
      <c r="I119" s="31"/>
      <c r="J119" s="31"/>
      <c r="K119" s="25">
        <f t="shared" si="1"/>
        <v>0</v>
      </c>
      <c r="L119" s="25" t="str">
        <f>IF(I119=0,"",I119/F119*G119*LOOKUP(B119,L!A:A,L!C:C))</f>
        <v/>
      </c>
      <c r="M119" s="26">
        <f>IF(L119=MIN(L117:L119),1,0)</f>
        <v>0</v>
      </c>
    </row>
    <row r="120" ht="15.0" hidden="1" customHeight="1">
      <c r="A120" s="17" t="s">
        <v>59</v>
      </c>
      <c r="B120" s="18">
        <v>1.0</v>
      </c>
      <c r="C120" s="19" t="s">
        <v>113</v>
      </c>
      <c r="D120" s="21"/>
      <c r="E120" s="21"/>
      <c r="F120" s="22">
        <v>100.0</v>
      </c>
      <c r="G120" s="22">
        <v>1000.0</v>
      </c>
      <c r="H120" s="35"/>
      <c r="I120" s="34"/>
      <c r="J120" s="34"/>
      <c r="K120" s="25">
        <f t="shared" si="1"/>
        <v>0</v>
      </c>
      <c r="L120" s="25" t="str">
        <f>IF(I120=0,"",I120/F120*G120*LOOKUP(B120,L!A:A,L!C:C))</f>
        <v/>
      </c>
      <c r="M120" s="26">
        <f>IF(L120=MIN(L120:L122),1,0)</f>
        <v>0</v>
      </c>
    </row>
    <row r="121" ht="15.0" hidden="1" customHeight="1">
      <c r="A121" s="27" t="s">
        <v>59</v>
      </c>
      <c r="B121" s="28">
        <v>2.0</v>
      </c>
      <c r="C121" s="29" t="s">
        <v>113</v>
      </c>
      <c r="D121" s="21"/>
      <c r="E121" s="21"/>
      <c r="F121" s="30">
        <v>150.0</v>
      </c>
      <c r="G121" s="30">
        <v>1000.0</v>
      </c>
      <c r="H121" s="35"/>
      <c r="I121" s="36">
        <v>6102.0</v>
      </c>
      <c r="J121" s="36"/>
      <c r="K121" s="25">
        <f t="shared" si="1"/>
        <v>0</v>
      </c>
      <c r="L121" s="25">
        <f>IF(I121=0,"",I121/F121*G121*LOOKUP(B121,L!A:A,L!C:C))</f>
        <v>30510</v>
      </c>
      <c r="M121" s="26">
        <f>IF(L121=MIN(L120:L122),1,0)</f>
        <v>0</v>
      </c>
    </row>
    <row r="122" ht="15.0" hidden="1" customHeight="1">
      <c r="A122" s="17" t="s">
        <v>59</v>
      </c>
      <c r="B122" s="28">
        <v>3.0</v>
      </c>
      <c r="C122" s="29" t="s">
        <v>113</v>
      </c>
      <c r="D122" s="21"/>
      <c r="E122" s="20" t="s">
        <v>114</v>
      </c>
      <c r="F122" s="30">
        <v>100.0</v>
      </c>
      <c r="G122" s="30">
        <v>1000.0</v>
      </c>
      <c r="H122" s="23"/>
      <c r="I122" s="31">
        <v>2399.0</v>
      </c>
      <c r="J122" s="31"/>
      <c r="K122" s="25">
        <f t="shared" si="1"/>
        <v>0</v>
      </c>
      <c r="L122" s="25">
        <f>IF(I122=0,"",I122/F122*G122*LOOKUP(B122,L!A:A,L!C:C))</f>
        <v>17992.5</v>
      </c>
      <c r="M122" s="26">
        <f>IF(L122=MIN(L120:L122),1,0)</f>
        <v>1</v>
      </c>
    </row>
    <row r="123" ht="15.0" hidden="1" customHeight="1">
      <c r="A123" s="17" t="s">
        <v>115</v>
      </c>
      <c r="B123" s="18">
        <v>5.0</v>
      </c>
      <c r="C123" s="19" t="s">
        <v>116</v>
      </c>
      <c r="D123" s="21"/>
      <c r="E123" s="21" t="s">
        <v>117</v>
      </c>
      <c r="F123" s="22">
        <v>1000.0</v>
      </c>
      <c r="G123" s="22">
        <v>1000.0</v>
      </c>
      <c r="H123" s="35"/>
      <c r="I123" s="34"/>
      <c r="J123" s="34"/>
      <c r="K123" s="25">
        <f t="shared" si="1"/>
        <v>0</v>
      </c>
      <c r="L123" s="25" t="str">
        <f>IF(I123=0,"",I123/F123*G123*LOOKUP(B123,L!A:A,L!C:C))</f>
        <v/>
      </c>
      <c r="M123" s="26">
        <f>IF(L123=MIN(L123:L125),1,0)</f>
        <v>0</v>
      </c>
    </row>
    <row r="124" ht="15.0" hidden="1" customHeight="1">
      <c r="A124" s="27" t="s">
        <v>115</v>
      </c>
      <c r="B124" s="28">
        <v>2.0</v>
      </c>
      <c r="C124" s="29" t="s">
        <v>116</v>
      </c>
      <c r="D124" s="21"/>
      <c r="E124" s="21"/>
      <c r="F124" s="30">
        <v>1000.0</v>
      </c>
      <c r="G124" s="30">
        <v>1000.0</v>
      </c>
      <c r="H124" s="35"/>
      <c r="I124" s="36"/>
      <c r="J124" s="36"/>
      <c r="K124" s="25">
        <f t="shared" si="1"/>
        <v>0</v>
      </c>
      <c r="L124" s="25" t="str">
        <f>IF(I124=0,"",I124/F124*G124*LOOKUP(B124,L!A:A,L!C:C))</f>
        <v/>
      </c>
      <c r="M124" s="26">
        <f>IF(L124=MIN(L123:L125),1,0)</f>
        <v>0</v>
      </c>
    </row>
    <row r="125" ht="15.0" hidden="1" customHeight="1">
      <c r="A125" s="17" t="s">
        <v>115</v>
      </c>
      <c r="B125" s="28">
        <v>4.0</v>
      </c>
      <c r="C125" s="29" t="s">
        <v>116</v>
      </c>
      <c r="D125" s="21"/>
      <c r="E125" s="21"/>
      <c r="F125" s="30">
        <v>1000.0</v>
      </c>
      <c r="G125" s="30">
        <v>1000.0</v>
      </c>
      <c r="H125" s="35"/>
      <c r="I125" s="31"/>
      <c r="J125" s="31"/>
      <c r="K125" s="25">
        <f t="shared" si="1"/>
        <v>0</v>
      </c>
      <c r="L125" s="25" t="str">
        <f>IF(I125=0,"",I125/F125*G125*LOOKUP(B125,L!A:A,L!C:C))</f>
        <v/>
      </c>
      <c r="M125" s="26">
        <f>IF(L125=MIN(L123:L125),1,0)</f>
        <v>0</v>
      </c>
    </row>
    <row r="126" ht="15.0" hidden="1" customHeight="1">
      <c r="A126" s="33" t="s">
        <v>65</v>
      </c>
      <c r="B126" s="18">
        <v>1.0</v>
      </c>
      <c r="C126" s="29" t="s">
        <v>118</v>
      </c>
      <c r="D126" s="20"/>
      <c r="E126" s="20"/>
      <c r="F126" s="38">
        <v>2000.0</v>
      </c>
      <c r="G126" s="22">
        <v>1000.0</v>
      </c>
      <c r="H126" s="23"/>
      <c r="I126" s="24"/>
      <c r="J126" s="24"/>
      <c r="K126" s="25">
        <f t="shared" si="1"/>
        <v>0</v>
      </c>
      <c r="L126" s="25" t="str">
        <f>IF(I126=0,"",I126/F126*G126*LOOKUP(B126,L!A:A,L!C:C))</f>
        <v/>
      </c>
      <c r="M126" s="26">
        <f>IF(L126=MIN(L126:L128),1,0)</f>
        <v>0</v>
      </c>
    </row>
    <row r="127" ht="15.0" hidden="1" customHeight="1">
      <c r="A127" s="33" t="s">
        <v>65</v>
      </c>
      <c r="B127" s="28">
        <v>2.0</v>
      </c>
      <c r="C127" s="29" t="s">
        <v>118</v>
      </c>
      <c r="D127" s="21"/>
      <c r="E127" s="21"/>
      <c r="F127" s="30"/>
      <c r="G127" s="30">
        <v>1000.0</v>
      </c>
      <c r="H127" s="35"/>
      <c r="I127" s="36"/>
      <c r="J127" s="36"/>
      <c r="K127" s="25">
        <f t="shared" si="1"/>
        <v>0</v>
      </c>
      <c r="L127" s="25" t="str">
        <f>IF(I127=0,"",I127/F127*G127*LOOKUP(B127,L!A:A,L!C:C))</f>
        <v/>
      </c>
      <c r="M127" s="26">
        <f>IF(L127=MIN(L126:L128),1,0)</f>
        <v>0</v>
      </c>
    </row>
    <row r="128" ht="15.0" hidden="1" customHeight="1">
      <c r="A128" s="33" t="s">
        <v>65</v>
      </c>
      <c r="B128" s="28">
        <v>4.0</v>
      </c>
      <c r="C128" s="29" t="s">
        <v>118</v>
      </c>
      <c r="D128" s="21"/>
      <c r="E128" s="21"/>
      <c r="F128" s="30"/>
      <c r="G128" s="30">
        <v>1000.0</v>
      </c>
      <c r="H128" s="35"/>
      <c r="I128" s="36"/>
      <c r="J128" s="36"/>
      <c r="K128" s="25">
        <f t="shared" si="1"/>
        <v>0</v>
      </c>
      <c r="L128" s="25" t="str">
        <f>IF(I128=0,"",I128/F128*G128*LOOKUP(B128,L!A:A,L!C:C))</f>
        <v/>
      </c>
      <c r="M128" s="26">
        <f>IF(L128=MIN(L126:L128),1,0)</f>
        <v>0</v>
      </c>
    </row>
    <row r="129" ht="15.0" customHeight="1">
      <c r="A129" s="27" t="s">
        <v>51</v>
      </c>
      <c r="B129" s="18">
        <v>1.0</v>
      </c>
      <c r="C129" s="37" t="s">
        <v>119</v>
      </c>
      <c r="D129" s="21"/>
      <c r="E129" s="20" t="s">
        <v>120</v>
      </c>
      <c r="F129" s="38">
        <v>1500.0</v>
      </c>
      <c r="G129" s="22">
        <v>1000.0</v>
      </c>
      <c r="H129" s="23">
        <v>0.0</v>
      </c>
      <c r="I129" s="24">
        <v>3417.6</v>
      </c>
      <c r="J129" s="24"/>
      <c r="K129" s="25">
        <f t="shared" si="1"/>
        <v>0</v>
      </c>
      <c r="L129" s="25">
        <f>IF(I129=0,"",I129/F129*G129*LOOKUP(B129,L!A:A,L!C:C))</f>
        <v>1480.96</v>
      </c>
      <c r="M129" s="26">
        <f>IF(L129=MIN(L129:L131),1,0)</f>
        <v>0</v>
      </c>
    </row>
    <row r="130" ht="15.0" hidden="1" customHeight="1">
      <c r="A130" s="27" t="s">
        <v>51</v>
      </c>
      <c r="B130" s="28">
        <v>2.0</v>
      </c>
      <c r="C130" s="37" t="s">
        <v>119</v>
      </c>
      <c r="D130" s="20"/>
      <c r="E130" s="20" t="s">
        <v>121</v>
      </c>
      <c r="F130" s="32">
        <v>2250.0</v>
      </c>
      <c r="G130" s="30">
        <v>1000.0</v>
      </c>
      <c r="H130" s="23"/>
      <c r="I130" s="31"/>
      <c r="J130" s="31"/>
      <c r="K130" s="25">
        <f t="shared" si="1"/>
        <v>0</v>
      </c>
      <c r="L130" s="25" t="str">
        <f>IF(I130=0,"",I130/F130*G130*LOOKUP(B130,L!A:A,L!C:C))</f>
        <v/>
      </c>
      <c r="M130" s="26">
        <f>IF(L130=MIN(L129:L131),1,0)</f>
        <v>0</v>
      </c>
    </row>
    <row r="131" ht="15.0" hidden="1" customHeight="1">
      <c r="A131" s="17" t="s">
        <v>51</v>
      </c>
      <c r="B131" s="28">
        <v>3.0</v>
      </c>
      <c r="C131" s="37" t="s">
        <v>119</v>
      </c>
      <c r="D131" s="20"/>
      <c r="E131" s="20" t="s">
        <v>121</v>
      </c>
      <c r="F131" s="32">
        <v>2250.0</v>
      </c>
      <c r="G131" s="30">
        <v>1000.0</v>
      </c>
      <c r="H131" s="23">
        <v>0.0</v>
      </c>
      <c r="I131" s="31">
        <v>4054.26</v>
      </c>
      <c r="J131" s="31"/>
      <c r="K131" s="25">
        <f t="shared" si="1"/>
        <v>0</v>
      </c>
      <c r="L131" s="25">
        <f>IF(I131=0,"",I131/F131*G131*LOOKUP(B131,L!A:A,L!C:C))</f>
        <v>1351.42</v>
      </c>
      <c r="M131" s="26">
        <f>IF(L131=MIN(L129:L131),1,0)</f>
        <v>1</v>
      </c>
    </row>
    <row r="132" ht="15.0" hidden="1" customHeight="1">
      <c r="A132" s="17" t="s">
        <v>41</v>
      </c>
      <c r="B132" s="18">
        <v>1.0</v>
      </c>
      <c r="C132" s="19" t="s">
        <v>122</v>
      </c>
      <c r="D132" s="21"/>
      <c r="E132" s="21"/>
      <c r="F132" s="22"/>
      <c r="G132" s="22">
        <v>1000.0</v>
      </c>
      <c r="H132" s="35"/>
      <c r="I132" s="34"/>
      <c r="J132" s="34"/>
      <c r="K132" s="25">
        <f t="shared" si="1"/>
        <v>0</v>
      </c>
      <c r="L132" s="25" t="str">
        <f>IF(I132=0,"",I132/F132*G132*LOOKUP(B132,L!A:A,L!C:C))</f>
        <v/>
      </c>
      <c r="M132" s="26">
        <f>IF(L132=MIN(L132:L134),1,0)</f>
        <v>0</v>
      </c>
    </row>
    <row r="133" ht="15.0" hidden="1" customHeight="1">
      <c r="A133" s="27" t="s">
        <v>41</v>
      </c>
      <c r="B133" s="28">
        <v>2.0</v>
      </c>
      <c r="C133" s="29" t="s">
        <v>122</v>
      </c>
      <c r="D133" s="21"/>
      <c r="E133" s="20" t="s">
        <v>123</v>
      </c>
      <c r="F133" s="30">
        <v>100.0</v>
      </c>
      <c r="G133" s="30">
        <v>1000.0</v>
      </c>
      <c r="H133" s="23"/>
      <c r="I133" s="31">
        <v>1990.0</v>
      </c>
      <c r="J133" s="31"/>
      <c r="K133" s="25">
        <f t="shared" si="1"/>
        <v>0</v>
      </c>
      <c r="L133" s="25">
        <f>IF(I133=0,"",I133/F133*G133*LOOKUP(B133,L!A:A,L!C:C))</f>
        <v>14925</v>
      </c>
      <c r="M133" s="26">
        <f>IF(L133=MIN(L132:L134),1,0)</f>
        <v>1</v>
      </c>
    </row>
    <row r="134" ht="15.0" hidden="1" customHeight="1">
      <c r="A134" s="17" t="s">
        <v>41</v>
      </c>
      <c r="B134" s="28">
        <v>4.0</v>
      </c>
      <c r="C134" s="29" t="s">
        <v>122</v>
      </c>
      <c r="D134" s="21"/>
      <c r="E134" s="21"/>
      <c r="F134" s="30"/>
      <c r="G134" s="30">
        <v>1000.0</v>
      </c>
      <c r="H134" s="35"/>
      <c r="I134" s="36"/>
      <c r="J134" s="36"/>
      <c r="K134" s="25">
        <f t="shared" si="1"/>
        <v>0</v>
      </c>
      <c r="L134" s="25" t="str">
        <f>IF(I134=0,"",I134/F134*G134*LOOKUP(B134,L!A:A,L!C:C))</f>
        <v/>
      </c>
      <c r="M134" s="26">
        <f>IF(L134=MIN(L132:L134),1,0)</f>
        <v>0</v>
      </c>
    </row>
    <row r="135" ht="15.0" hidden="1" customHeight="1">
      <c r="A135" s="17" t="s">
        <v>41</v>
      </c>
      <c r="B135" s="18">
        <v>1.0</v>
      </c>
      <c r="C135" s="19" t="s">
        <v>124</v>
      </c>
      <c r="D135" s="21"/>
      <c r="E135" s="20" t="s">
        <v>125</v>
      </c>
      <c r="F135" s="22">
        <v>25.0</v>
      </c>
      <c r="G135" s="22">
        <v>1000.0</v>
      </c>
      <c r="H135" s="23"/>
      <c r="I135" s="34"/>
      <c r="J135" s="34"/>
      <c r="K135" s="25">
        <f t="shared" si="1"/>
        <v>0</v>
      </c>
      <c r="L135" s="25" t="str">
        <f>IF(I135=0,"",I135/F135*G135*LOOKUP(B135,L!A:A,L!C:C))</f>
        <v/>
      </c>
      <c r="M135" s="26">
        <f>IF(L135=MIN(L135:L137),1,0)</f>
        <v>0</v>
      </c>
    </row>
    <row r="136" ht="15.0" hidden="1" customHeight="1">
      <c r="A136" s="27" t="s">
        <v>41</v>
      </c>
      <c r="B136" s="28">
        <v>2.0</v>
      </c>
      <c r="C136" s="29" t="s">
        <v>124</v>
      </c>
      <c r="D136" s="20"/>
      <c r="E136" s="20"/>
      <c r="F136" s="32">
        <v>50.0</v>
      </c>
      <c r="G136" s="30">
        <v>1000.0</v>
      </c>
      <c r="H136" s="23"/>
      <c r="I136" s="31"/>
      <c r="J136" s="31"/>
      <c r="K136" s="25">
        <f t="shared" si="1"/>
        <v>0</v>
      </c>
      <c r="L136" s="25" t="str">
        <f>IF(I136=0,"",I136/F136*G136*LOOKUP(B136,L!A:A,L!C:C))</f>
        <v/>
      </c>
      <c r="M136" s="26">
        <f>IF(L136=MIN(L135:L137),1,0)</f>
        <v>0</v>
      </c>
    </row>
    <row r="137" ht="15.0" hidden="1" customHeight="1">
      <c r="A137" s="17" t="s">
        <v>41</v>
      </c>
      <c r="B137" s="28">
        <v>4.0</v>
      </c>
      <c r="C137" s="29" t="s">
        <v>124</v>
      </c>
      <c r="D137" s="21"/>
      <c r="E137" s="21"/>
      <c r="F137" s="30"/>
      <c r="G137" s="30">
        <v>1000.0</v>
      </c>
      <c r="H137" s="35"/>
      <c r="I137" s="36"/>
      <c r="J137" s="36"/>
      <c r="K137" s="25">
        <f t="shared" si="1"/>
        <v>0</v>
      </c>
      <c r="L137" s="25" t="str">
        <f>IF(I137=0,"",I137/F137*G137*LOOKUP(B137,L!A:A,L!C:C))</f>
        <v/>
      </c>
      <c r="M137" s="26">
        <f>IF(L137=MIN(L135:L137),1,0)</f>
        <v>0</v>
      </c>
    </row>
    <row r="138" ht="15.0" hidden="1" customHeight="1">
      <c r="A138" s="17" t="s">
        <v>41</v>
      </c>
      <c r="B138" s="18">
        <v>1.0</v>
      </c>
      <c r="C138" s="19" t="s">
        <v>126</v>
      </c>
      <c r="D138" s="21"/>
      <c r="E138" s="21"/>
      <c r="F138" s="38">
        <v>50.0</v>
      </c>
      <c r="G138" s="22">
        <v>1000.0</v>
      </c>
      <c r="H138" s="23"/>
      <c r="I138" s="24">
        <v>2679.75</v>
      </c>
      <c r="J138" s="34"/>
      <c r="K138" s="25">
        <f t="shared" si="1"/>
        <v>0</v>
      </c>
      <c r="L138" s="25">
        <f>IF(I138=0,"",I138/F138*G138*LOOKUP(B138,L!A:A,L!C:C))</f>
        <v>34836.75</v>
      </c>
      <c r="M138" s="26">
        <f>IF(L138=MIN(L138:L140),1,0)</f>
        <v>1</v>
      </c>
    </row>
    <row r="139" ht="15.0" hidden="1" customHeight="1">
      <c r="A139" s="27" t="s">
        <v>41</v>
      </c>
      <c r="B139" s="28">
        <v>2.0</v>
      </c>
      <c r="C139" s="29" t="s">
        <v>126</v>
      </c>
      <c r="D139" s="21"/>
      <c r="E139" s="21"/>
      <c r="F139" s="30">
        <v>50.0</v>
      </c>
      <c r="G139" s="30">
        <v>1000.0</v>
      </c>
      <c r="H139" s="35"/>
      <c r="I139" s="36"/>
      <c r="J139" s="36"/>
      <c r="K139" s="25">
        <f t="shared" si="1"/>
        <v>0</v>
      </c>
      <c r="L139" s="25" t="str">
        <f>IF(I139=0,"",I139/F139*G139*LOOKUP(B139,L!A:A,L!C:C))</f>
        <v/>
      </c>
      <c r="M139" s="26">
        <f>IF(L139=MIN(L138:L140),1,0)</f>
        <v>0</v>
      </c>
    </row>
    <row r="140" ht="15.0" hidden="1" customHeight="1">
      <c r="A140" s="17" t="s">
        <v>41</v>
      </c>
      <c r="B140" s="28">
        <v>4.0</v>
      </c>
      <c r="C140" s="29" t="s">
        <v>126</v>
      </c>
      <c r="D140" s="21"/>
      <c r="E140" s="21"/>
      <c r="F140" s="30"/>
      <c r="G140" s="30">
        <v>1000.0</v>
      </c>
      <c r="H140" s="35"/>
      <c r="I140" s="36"/>
      <c r="J140" s="36"/>
      <c r="K140" s="25">
        <f t="shared" si="1"/>
        <v>0</v>
      </c>
      <c r="L140" s="25" t="str">
        <f>IF(I140=0,"",I140/F140*G140*LOOKUP(B140,L!A:A,L!C:C))</f>
        <v/>
      </c>
      <c r="M140" s="26">
        <f>IF(L140=MIN(L138:L140),1,0)</f>
        <v>0</v>
      </c>
    </row>
    <row r="141" ht="15.0" hidden="1" customHeight="1">
      <c r="A141" s="17" t="s">
        <v>41</v>
      </c>
      <c r="B141" s="18">
        <v>1.0</v>
      </c>
      <c r="C141" s="19" t="s">
        <v>127</v>
      </c>
      <c r="D141" s="21"/>
      <c r="E141" s="21"/>
      <c r="F141" s="22">
        <v>25.0</v>
      </c>
      <c r="G141" s="22">
        <v>1000.0</v>
      </c>
      <c r="H141" s="23"/>
      <c r="I141" s="34"/>
      <c r="J141" s="34"/>
      <c r="K141" s="25">
        <f t="shared" si="1"/>
        <v>0</v>
      </c>
      <c r="L141" s="25" t="str">
        <f>IF(I141=0,"",I141/F141*G141*LOOKUP(B141,L!A:A,L!C:C))</f>
        <v/>
      </c>
      <c r="M141" s="26">
        <f>IF(L141=MIN(L141:L143),1,0)</f>
        <v>0</v>
      </c>
    </row>
    <row r="142" ht="15.0" hidden="1" customHeight="1">
      <c r="A142" s="27" t="s">
        <v>41</v>
      </c>
      <c r="B142" s="28">
        <v>2.0</v>
      </c>
      <c r="C142" s="29" t="s">
        <v>127</v>
      </c>
      <c r="D142" s="21"/>
      <c r="E142" s="21"/>
      <c r="F142" s="30">
        <v>50.0</v>
      </c>
      <c r="G142" s="30">
        <v>1000.0</v>
      </c>
      <c r="H142" s="23"/>
      <c r="I142" s="36">
        <v>2990.0</v>
      </c>
      <c r="J142" s="36"/>
      <c r="K142" s="25">
        <f t="shared" si="1"/>
        <v>0</v>
      </c>
      <c r="L142" s="25">
        <f>IF(I142=0,"",I142/F142*G142*LOOKUP(B142,L!A:A,L!C:C))</f>
        <v>44850</v>
      </c>
      <c r="M142" s="26">
        <f>IF(L142=MIN(L141:L143),1,0)</f>
        <v>1</v>
      </c>
    </row>
    <row r="143" ht="15.0" hidden="1" customHeight="1">
      <c r="A143" s="17" t="s">
        <v>41</v>
      </c>
      <c r="B143" s="28">
        <v>4.0</v>
      </c>
      <c r="C143" s="29" t="s">
        <v>127</v>
      </c>
      <c r="D143" s="21"/>
      <c r="E143" s="21"/>
      <c r="F143" s="30"/>
      <c r="G143" s="30">
        <v>1000.0</v>
      </c>
      <c r="H143" s="35"/>
      <c r="I143" s="36"/>
      <c r="J143" s="36"/>
      <c r="K143" s="25">
        <f t="shared" si="1"/>
        <v>0</v>
      </c>
      <c r="L143" s="25" t="str">
        <f>IF(I143=0,"",I143/F143*G143*LOOKUP(B143,L!A:A,L!C:C))</f>
        <v/>
      </c>
      <c r="M143" s="26">
        <f>IF(L143=MIN(L141:L143),1,0)</f>
        <v>0</v>
      </c>
    </row>
    <row r="144" ht="15.0" hidden="1" customHeight="1">
      <c r="A144" s="17" t="s">
        <v>41</v>
      </c>
      <c r="B144" s="18">
        <v>1.0</v>
      </c>
      <c r="C144" s="19" t="s">
        <v>128</v>
      </c>
      <c r="D144" s="21"/>
      <c r="E144" s="21"/>
      <c r="F144" s="22">
        <v>50.0</v>
      </c>
      <c r="G144" s="22">
        <v>1000.0</v>
      </c>
      <c r="H144" s="23"/>
      <c r="I144" s="34"/>
      <c r="J144" s="34"/>
      <c r="K144" s="25">
        <f t="shared" si="1"/>
        <v>0</v>
      </c>
      <c r="L144" s="25" t="str">
        <f>IF(I144=0,"",I144/F144*G144*LOOKUP(B144,L!A:A,L!C:C))</f>
        <v/>
      </c>
      <c r="M144" s="26">
        <f>IF(L144=MIN(L144:L146),1,0)</f>
        <v>0</v>
      </c>
    </row>
    <row r="145" ht="15.0" hidden="1" customHeight="1">
      <c r="A145" s="27" t="s">
        <v>41</v>
      </c>
      <c r="B145" s="28">
        <v>2.0</v>
      </c>
      <c r="C145" s="29" t="s">
        <v>128</v>
      </c>
      <c r="D145" s="21"/>
      <c r="E145" s="21"/>
      <c r="F145" s="30">
        <v>50.0</v>
      </c>
      <c r="G145" s="30">
        <v>1000.0</v>
      </c>
      <c r="H145" s="23"/>
      <c r="I145" s="36">
        <v>1990.0</v>
      </c>
      <c r="J145" s="36"/>
      <c r="K145" s="25">
        <f t="shared" si="1"/>
        <v>0</v>
      </c>
      <c r="L145" s="25">
        <f>IF(I145=0,"",I145/F145*G145*LOOKUP(B145,L!A:A,L!C:C))</f>
        <v>29850</v>
      </c>
      <c r="M145" s="26">
        <f>IF(L145=MIN(L144:L146),1,0)</f>
        <v>1</v>
      </c>
    </row>
    <row r="146" ht="15.0" hidden="1" customHeight="1">
      <c r="A146" s="17" t="s">
        <v>41</v>
      </c>
      <c r="B146" s="28">
        <v>4.0</v>
      </c>
      <c r="C146" s="29" t="s">
        <v>128</v>
      </c>
      <c r="D146" s="21"/>
      <c r="E146" s="21"/>
      <c r="F146" s="32">
        <v>48.0</v>
      </c>
      <c r="G146" s="30">
        <v>1000.0</v>
      </c>
      <c r="H146" s="23"/>
      <c r="I146" s="31"/>
      <c r="J146" s="31"/>
      <c r="K146" s="25">
        <f t="shared" si="1"/>
        <v>0</v>
      </c>
      <c r="L146" s="25" t="str">
        <f>IF(I146=0,"",I146/F146*G146*LOOKUP(B146,L!A:A,L!C:C))</f>
        <v/>
      </c>
      <c r="M146" s="26">
        <f>IF(L146=MIN(L144:L146),1,0)</f>
        <v>0</v>
      </c>
    </row>
    <row r="147" ht="15.0" hidden="1" customHeight="1">
      <c r="A147" s="17" t="s">
        <v>41</v>
      </c>
      <c r="B147" s="18">
        <v>1.0</v>
      </c>
      <c r="C147" s="19" t="s">
        <v>129</v>
      </c>
      <c r="D147" s="21"/>
      <c r="E147" s="21"/>
      <c r="F147" s="38">
        <v>23.0</v>
      </c>
      <c r="G147" s="22">
        <v>1000.0</v>
      </c>
      <c r="H147" s="23"/>
      <c r="I147" s="24">
        <v>1919.85</v>
      </c>
      <c r="J147" s="24"/>
      <c r="K147" s="25">
        <f t="shared" si="1"/>
        <v>0</v>
      </c>
      <c r="L147" s="25">
        <f>IF(I147=0,"",I147/F147*G147*LOOKUP(B147,L!A:A,L!C:C))</f>
        <v>54256.63043</v>
      </c>
      <c r="M147" s="26">
        <f>IF(L147=MIN(L147:L149),1,0)</f>
        <v>1</v>
      </c>
    </row>
    <row r="148" ht="15.0" hidden="1" customHeight="1">
      <c r="A148" s="27" t="s">
        <v>41</v>
      </c>
      <c r="B148" s="28">
        <v>2.0</v>
      </c>
      <c r="C148" s="29" t="s">
        <v>129</v>
      </c>
      <c r="D148" s="21"/>
      <c r="E148" s="21"/>
      <c r="F148" s="30">
        <v>100.0</v>
      </c>
      <c r="G148" s="30">
        <v>1000.0</v>
      </c>
      <c r="H148" s="35"/>
      <c r="I148" s="36"/>
      <c r="J148" s="36"/>
      <c r="K148" s="25">
        <f t="shared" si="1"/>
        <v>0</v>
      </c>
      <c r="L148" s="25" t="str">
        <f>IF(I148=0,"",I148/F148*G148*LOOKUP(B148,L!A:A,L!C:C))</f>
        <v/>
      </c>
      <c r="M148" s="26">
        <f>IF(L148=MIN(L147:L149),1,0)</f>
        <v>0</v>
      </c>
    </row>
    <row r="149" ht="15.0" hidden="1" customHeight="1">
      <c r="A149" s="17" t="s">
        <v>41</v>
      </c>
      <c r="B149" s="28">
        <v>4.0</v>
      </c>
      <c r="C149" s="29" t="s">
        <v>129</v>
      </c>
      <c r="D149" s="21"/>
      <c r="E149" s="21"/>
      <c r="F149" s="30"/>
      <c r="G149" s="30">
        <v>1000.0</v>
      </c>
      <c r="H149" s="35"/>
      <c r="I149" s="36"/>
      <c r="J149" s="36"/>
      <c r="K149" s="25">
        <f t="shared" si="1"/>
        <v>0</v>
      </c>
      <c r="L149" s="25" t="str">
        <f>IF(I149=0,"",I149/F149*G149*LOOKUP(B149,L!A:A,L!C:C))</f>
        <v/>
      </c>
      <c r="M149" s="26">
        <f>IF(L149=MIN(L147:L149),1,0)</f>
        <v>0</v>
      </c>
    </row>
    <row r="150" ht="15.0" hidden="1" customHeight="1">
      <c r="A150" s="17" t="s">
        <v>41</v>
      </c>
      <c r="B150" s="18">
        <v>1.0</v>
      </c>
      <c r="C150" s="19" t="s">
        <v>130</v>
      </c>
      <c r="D150" s="21"/>
      <c r="E150" s="21"/>
      <c r="F150" s="22">
        <v>50.0</v>
      </c>
      <c r="G150" s="22">
        <v>1000.0</v>
      </c>
      <c r="H150" s="35"/>
      <c r="I150" s="34"/>
      <c r="J150" s="34"/>
      <c r="K150" s="25">
        <f t="shared" si="1"/>
        <v>0</v>
      </c>
      <c r="L150" s="25" t="str">
        <f>IF(I150=0,"",I150/F150*G150*LOOKUP(B150,L!A:A,L!C:C))</f>
        <v/>
      </c>
      <c r="M150" s="26">
        <f>IF(L150=MIN(L150:L152),1,0)</f>
        <v>0</v>
      </c>
    </row>
    <row r="151" ht="15.0" hidden="1" customHeight="1">
      <c r="A151" s="27" t="s">
        <v>41</v>
      </c>
      <c r="B151" s="28">
        <v>2.0</v>
      </c>
      <c r="C151" s="29" t="s">
        <v>130</v>
      </c>
      <c r="D151" s="21"/>
      <c r="E151" s="21"/>
      <c r="F151" s="30">
        <v>100.0</v>
      </c>
      <c r="G151" s="30">
        <v>1000.0</v>
      </c>
      <c r="H151" s="23"/>
      <c r="I151" s="36"/>
      <c r="J151" s="36"/>
      <c r="K151" s="25">
        <f t="shared" si="1"/>
        <v>0</v>
      </c>
      <c r="L151" s="25" t="str">
        <f>IF(I151=0,"",I151/F151*G151*LOOKUP(B151,L!A:A,L!C:C))</f>
        <v/>
      </c>
      <c r="M151" s="26">
        <f>IF(L151=MIN(L150:L152),1,0)</f>
        <v>0</v>
      </c>
    </row>
    <row r="152" ht="15.0" hidden="1" customHeight="1">
      <c r="A152" s="17" t="s">
        <v>41</v>
      </c>
      <c r="B152" s="28">
        <v>4.0</v>
      </c>
      <c r="C152" s="29" t="s">
        <v>130</v>
      </c>
      <c r="D152" s="21"/>
      <c r="E152" s="21"/>
      <c r="F152" s="30"/>
      <c r="G152" s="30">
        <v>1000.0</v>
      </c>
      <c r="H152" s="35"/>
      <c r="I152" s="36"/>
      <c r="J152" s="36"/>
      <c r="K152" s="25">
        <f t="shared" si="1"/>
        <v>0</v>
      </c>
      <c r="L152" s="25" t="str">
        <f>IF(I152=0,"",I152/F152*G152*LOOKUP(B152,L!A:A,L!C:C))</f>
        <v/>
      </c>
      <c r="M152" s="26">
        <f>IF(L152=MIN(L150:L152),1,0)</f>
        <v>0</v>
      </c>
    </row>
    <row r="153" ht="15.0" hidden="1" customHeight="1">
      <c r="A153" s="17" t="s">
        <v>68</v>
      </c>
      <c r="B153" s="18">
        <v>1.0</v>
      </c>
      <c r="C153" s="19" t="s">
        <v>131</v>
      </c>
      <c r="D153" s="21"/>
      <c r="E153" s="21"/>
      <c r="F153" s="22"/>
      <c r="G153" s="22">
        <v>1.0</v>
      </c>
      <c r="H153" s="35"/>
      <c r="I153" s="34"/>
      <c r="J153" s="34"/>
      <c r="K153" s="25">
        <f t="shared" si="1"/>
        <v>0</v>
      </c>
      <c r="L153" s="25" t="str">
        <f>IF(I153=0,"",I153/F153*G153*LOOKUP(B153,L!A:A,L!C:C))</f>
        <v/>
      </c>
      <c r="M153" s="26">
        <f>IF(L153=MIN(L153:L155),1,0)</f>
        <v>0</v>
      </c>
    </row>
    <row r="154" ht="15.0" hidden="1" customHeight="1">
      <c r="A154" s="27" t="s">
        <v>68</v>
      </c>
      <c r="B154" s="28">
        <v>2.0</v>
      </c>
      <c r="C154" s="29" t="s">
        <v>131</v>
      </c>
      <c r="D154" s="21"/>
      <c r="E154" s="21"/>
      <c r="F154" s="30">
        <v>1.0</v>
      </c>
      <c r="G154" s="30">
        <v>1.0</v>
      </c>
      <c r="H154" s="35"/>
      <c r="I154" s="36"/>
      <c r="J154" s="36"/>
      <c r="K154" s="25">
        <f t="shared" si="1"/>
        <v>0</v>
      </c>
      <c r="L154" s="25" t="str">
        <f>IF(I154=0,"",I154/F154*G154*LOOKUP(B154,L!A:A,L!C:C))</f>
        <v/>
      </c>
      <c r="M154" s="26">
        <f>IF(L154=MIN(L153:L155),1,0)</f>
        <v>0</v>
      </c>
    </row>
    <row r="155" ht="15.0" hidden="1" customHeight="1">
      <c r="A155" s="17" t="s">
        <v>68</v>
      </c>
      <c r="B155" s="28">
        <v>4.0</v>
      </c>
      <c r="C155" s="29" t="s">
        <v>131</v>
      </c>
      <c r="D155" s="21"/>
      <c r="E155" s="21"/>
      <c r="F155" s="30"/>
      <c r="G155" s="30">
        <v>1.0</v>
      </c>
      <c r="H155" s="35"/>
      <c r="I155" s="36"/>
      <c r="J155" s="36"/>
      <c r="K155" s="25">
        <f t="shared" si="1"/>
        <v>0</v>
      </c>
      <c r="L155" s="25" t="str">
        <f>IF(I155=0,"",I155/F155*G155*LOOKUP(B155,L!A:A,L!C:C))</f>
        <v/>
      </c>
      <c r="M155" s="26">
        <f>IF(L155=MIN(L153:L155),1,0)</f>
        <v>0</v>
      </c>
    </row>
    <row r="156" ht="15.0" hidden="1" customHeight="1">
      <c r="A156" s="17" t="s">
        <v>115</v>
      </c>
      <c r="B156" s="18">
        <v>1.0</v>
      </c>
      <c r="C156" s="19" t="s">
        <v>132</v>
      </c>
      <c r="D156" s="21"/>
      <c r="E156" s="21"/>
      <c r="F156" s="22">
        <v>1000.0</v>
      </c>
      <c r="G156" s="22">
        <v>1000.0</v>
      </c>
      <c r="H156" s="35"/>
      <c r="I156" s="34"/>
      <c r="J156" s="34"/>
      <c r="K156" s="25">
        <f t="shared" si="1"/>
        <v>0</v>
      </c>
      <c r="L156" s="25" t="str">
        <f>IF(I156=0,"",I156/F156*G156*LOOKUP(B156,L!A:A,L!C:C))</f>
        <v/>
      </c>
      <c r="M156" s="26">
        <f>IF(L156=MIN(L156:L158),1,0)</f>
        <v>0</v>
      </c>
    </row>
    <row r="157" ht="15.0" hidden="1" customHeight="1">
      <c r="A157" s="27" t="s">
        <v>115</v>
      </c>
      <c r="B157" s="28">
        <v>2.0</v>
      </c>
      <c r="C157" s="29" t="s">
        <v>132</v>
      </c>
      <c r="D157" s="20"/>
      <c r="E157" s="20" t="s">
        <v>133</v>
      </c>
      <c r="F157" s="30">
        <v>1000.0</v>
      </c>
      <c r="G157" s="30">
        <v>1000.0</v>
      </c>
      <c r="H157" s="23"/>
      <c r="I157" s="31">
        <v>14990.0</v>
      </c>
      <c r="J157" s="31"/>
      <c r="K157" s="25">
        <f t="shared" si="1"/>
        <v>0</v>
      </c>
      <c r="L157" s="25">
        <f>IF(I157=0,"",I157/F157*G157*LOOKUP(B157,L!A:A,L!C:C))</f>
        <v>11242.5</v>
      </c>
      <c r="M157" s="26">
        <f>IF(L157=MIN(L156:L158),1,0)</f>
        <v>1</v>
      </c>
    </row>
    <row r="158" ht="15.0" hidden="1" customHeight="1">
      <c r="A158" s="17" t="s">
        <v>115</v>
      </c>
      <c r="B158" s="28">
        <v>4.0</v>
      </c>
      <c r="C158" s="29" t="s">
        <v>132</v>
      </c>
      <c r="D158" s="21"/>
      <c r="E158" s="21"/>
      <c r="F158" s="30">
        <v>1000.0</v>
      </c>
      <c r="G158" s="30">
        <v>1000.0</v>
      </c>
      <c r="H158" s="35"/>
      <c r="I158" s="36"/>
      <c r="J158" s="36"/>
      <c r="K158" s="25">
        <f t="shared" si="1"/>
        <v>0</v>
      </c>
      <c r="L158" s="25" t="str">
        <f>IF(I158=0,"",I158/F158*G158*LOOKUP(B158,L!A:A,L!C:C))</f>
        <v/>
      </c>
      <c r="M158" s="26">
        <f>IF(L158=MIN(L156:L158),1,0)</f>
        <v>0</v>
      </c>
    </row>
    <row r="159" ht="15.0" hidden="1" customHeight="1">
      <c r="A159" s="17" t="s">
        <v>115</v>
      </c>
      <c r="B159" s="18">
        <v>1.0</v>
      </c>
      <c r="C159" s="19" t="s">
        <v>134</v>
      </c>
      <c r="D159" s="21"/>
      <c r="E159" s="21"/>
      <c r="F159" s="22">
        <v>1000.0</v>
      </c>
      <c r="G159" s="22">
        <v>1000.0</v>
      </c>
      <c r="H159" s="23"/>
      <c r="I159" s="24"/>
      <c r="J159" s="24"/>
      <c r="K159" s="25">
        <f t="shared" si="1"/>
        <v>0</v>
      </c>
      <c r="L159" s="25" t="str">
        <f>IF(I159=0,"",I159/F159*G159*LOOKUP(B159,L!A:A,L!C:C))</f>
        <v/>
      </c>
      <c r="M159" s="26">
        <f>IF(L159=MIN(L159:L161),1,0)</f>
        <v>0</v>
      </c>
    </row>
    <row r="160" ht="15.0" hidden="1" customHeight="1">
      <c r="A160" s="27" t="s">
        <v>115</v>
      </c>
      <c r="B160" s="28">
        <v>2.0</v>
      </c>
      <c r="C160" s="29" t="s">
        <v>134</v>
      </c>
      <c r="D160" s="21"/>
      <c r="E160" s="21"/>
      <c r="F160" s="30">
        <v>1000.0</v>
      </c>
      <c r="G160" s="30">
        <v>1000.0</v>
      </c>
      <c r="H160" s="23"/>
      <c r="I160" s="31">
        <v>19490.0</v>
      </c>
      <c r="J160" s="31"/>
      <c r="K160" s="25">
        <f t="shared" si="1"/>
        <v>0</v>
      </c>
      <c r="L160" s="25">
        <f>IF(I160=0,"",I160/F160*G160*LOOKUP(B160,L!A:A,L!C:C))</f>
        <v>14617.5</v>
      </c>
      <c r="M160" s="26">
        <f>IF(L160=MIN(L159:L161),1,0)</f>
        <v>1</v>
      </c>
    </row>
    <row r="161" ht="15.0" hidden="1" customHeight="1">
      <c r="A161" s="17" t="s">
        <v>115</v>
      </c>
      <c r="B161" s="28">
        <v>8.0</v>
      </c>
      <c r="C161" s="29" t="s">
        <v>134</v>
      </c>
      <c r="D161" s="21"/>
      <c r="E161" s="21"/>
      <c r="F161" s="30">
        <v>1000.0</v>
      </c>
      <c r="G161" s="30">
        <v>1000.0</v>
      </c>
      <c r="H161" s="23"/>
      <c r="I161" s="31">
        <v>17000.0</v>
      </c>
      <c r="J161" s="31"/>
      <c r="K161" s="25">
        <f t="shared" si="1"/>
        <v>0</v>
      </c>
      <c r="L161" s="25">
        <f>IF(I161=0,"",I161/F161*G161*LOOKUP(B161,L!A:A,L!C:C))</f>
        <v>17000</v>
      </c>
      <c r="M161" s="26">
        <f>IF(L161=MIN(L159:L161),1,0)</f>
        <v>0</v>
      </c>
    </row>
    <row r="162" ht="15.0" hidden="1" customHeight="1">
      <c r="A162" s="17" t="s">
        <v>57</v>
      </c>
      <c r="B162" s="18">
        <v>1.0</v>
      </c>
      <c r="C162" s="19" t="s">
        <v>135</v>
      </c>
      <c r="D162" s="21"/>
      <c r="E162" s="20" t="s">
        <v>136</v>
      </c>
      <c r="F162" s="38">
        <v>250.0</v>
      </c>
      <c r="G162" s="22">
        <v>1000.0</v>
      </c>
      <c r="H162" s="23"/>
      <c r="I162" s="24">
        <v>7371.49</v>
      </c>
      <c r="J162" s="24"/>
      <c r="K162" s="25">
        <f t="shared" si="1"/>
        <v>0</v>
      </c>
      <c r="L162" s="25">
        <f>IF(I162=0,"",I162/F162*G162*LOOKUP(B162,L!A:A,L!C:C))</f>
        <v>19165.874</v>
      </c>
      <c r="M162" s="26">
        <f>IF(L162=MIN(L162:L164),1,0)</f>
        <v>1</v>
      </c>
    </row>
    <row r="163" ht="15.0" hidden="1" customHeight="1">
      <c r="A163" s="27" t="s">
        <v>57</v>
      </c>
      <c r="B163" s="28">
        <v>2.0</v>
      </c>
      <c r="C163" s="29" t="s">
        <v>135</v>
      </c>
      <c r="D163" s="21"/>
      <c r="E163" s="21" t="s">
        <v>137</v>
      </c>
      <c r="F163" s="30">
        <v>350.0</v>
      </c>
      <c r="G163" s="30">
        <v>1000.0</v>
      </c>
      <c r="H163" s="35"/>
      <c r="I163" s="36"/>
      <c r="J163" s="36"/>
      <c r="K163" s="25">
        <f t="shared" si="1"/>
        <v>0</v>
      </c>
      <c r="L163" s="25" t="str">
        <f>IF(I163=0,"",I163/F163*G163*LOOKUP(B163,L!A:A,L!C:C))</f>
        <v/>
      </c>
      <c r="M163" s="26">
        <f>IF(L163=MIN(L162:L164),1,0)</f>
        <v>0</v>
      </c>
    </row>
    <row r="164" ht="15.0" hidden="1" customHeight="1">
      <c r="A164" s="17" t="s">
        <v>57</v>
      </c>
      <c r="B164" s="28">
        <v>4.0</v>
      </c>
      <c r="C164" s="29" t="s">
        <v>135</v>
      </c>
      <c r="D164" s="21"/>
      <c r="E164" s="21"/>
      <c r="F164" s="30"/>
      <c r="G164" s="30">
        <v>1000.0</v>
      </c>
      <c r="H164" s="35"/>
      <c r="I164" s="36"/>
      <c r="J164" s="36"/>
      <c r="K164" s="25">
        <f t="shared" si="1"/>
        <v>0</v>
      </c>
      <c r="L164" s="25" t="str">
        <f>IF(I164=0,"",I164/F164*G164*LOOKUP(B164,L!A:A,L!C:C))</f>
        <v/>
      </c>
      <c r="M164" s="26">
        <f>IF(L164=MIN(L162:L164),1,0)</f>
        <v>0</v>
      </c>
    </row>
    <row r="165" ht="15.0" hidden="1" customHeight="1">
      <c r="A165" s="17" t="s">
        <v>57</v>
      </c>
      <c r="B165" s="18">
        <v>1.0</v>
      </c>
      <c r="C165" s="19" t="s">
        <v>138</v>
      </c>
      <c r="D165" s="21"/>
      <c r="E165" s="21"/>
      <c r="F165" s="38">
        <v>300.0</v>
      </c>
      <c r="G165" s="22">
        <v>1000.0</v>
      </c>
      <c r="H165" s="23"/>
      <c r="I165" s="24">
        <v>8604.75</v>
      </c>
      <c r="J165" s="34"/>
      <c r="K165" s="25">
        <f t="shared" si="1"/>
        <v>0</v>
      </c>
      <c r="L165" s="25">
        <f>IF(I165=0,"",I165/F165*G165*LOOKUP(B165,L!A:A,L!C:C))</f>
        <v>18643.625</v>
      </c>
      <c r="M165" s="26">
        <f>IF(L165=MIN(L165:L167),1,0)</f>
        <v>1</v>
      </c>
    </row>
    <row r="166" ht="15.0" hidden="1" customHeight="1">
      <c r="A166" s="27" t="s">
        <v>57</v>
      </c>
      <c r="B166" s="28">
        <v>2.0</v>
      </c>
      <c r="C166" s="29" t="s">
        <v>138</v>
      </c>
      <c r="D166" s="21"/>
      <c r="E166" s="21"/>
      <c r="F166" s="30">
        <v>400.0</v>
      </c>
      <c r="G166" s="30">
        <v>1000.0</v>
      </c>
      <c r="H166" s="35"/>
      <c r="I166" s="36"/>
      <c r="J166" s="36"/>
      <c r="K166" s="25">
        <f t="shared" si="1"/>
        <v>0</v>
      </c>
      <c r="L166" s="25" t="str">
        <f>IF(I166=0,"",I166/F166*G166*LOOKUP(B166,L!A:A,L!C:C))</f>
        <v/>
      </c>
      <c r="M166" s="26">
        <f>IF(L166=MIN(L165:L167),1,0)</f>
        <v>0</v>
      </c>
    </row>
    <row r="167" ht="15.0" hidden="1" customHeight="1">
      <c r="A167" s="17" t="s">
        <v>57</v>
      </c>
      <c r="B167" s="28">
        <v>4.0</v>
      </c>
      <c r="C167" s="29" t="s">
        <v>138</v>
      </c>
      <c r="D167" s="21"/>
      <c r="E167" s="21"/>
      <c r="F167" s="32">
        <v>300.0</v>
      </c>
      <c r="G167" s="30">
        <v>1000.0</v>
      </c>
      <c r="H167" s="23"/>
      <c r="I167" s="31"/>
      <c r="J167" s="31"/>
      <c r="K167" s="25">
        <f t="shared" si="1"/>
        <v>0</v>
      </c>
      <c r="L167" s="25" t="str">
        <f>IF(I167=0,"",I167/F167*G167*LOOKUP(B167,L!A:A,L!C:C))</f>
        <v/>
      </c>
      <c r="M167" s="26">
        <f>IF(L167=MIN(L165:L167),1,0)</f>
        <v>0</v>
      </c>
    </row>
    <row r="168" ht="15.0" hidden="1" customHeight="1">
      <c r="A168" s="33" t="s">
        <v>139</v>
      </c>
      <c r="B168" s="18">
        <v>1.0</v>
      </c>
      <c r="C168" s="19" t="s">
        <v>140</v>
      </c>
      <c r="D168" s="21"/>
      <c r="E168" s="21" t="s">
        <v>141</v>
      </c>
      <c r="F168" s="22">
        <v>200.0</v>
      </c>
      <c r="G168" s="22">
        <v>1000.0</v>
      </c>
      <c r="H168" s="23"/>
      <c r="I168" s="24"/>
      <c r="J168" s="24"/>
      <c r="K168" s="25">
        <f t="shared" si="1"/>
        <v>0</v>
      </c>
      <c r="L168" s="25" t="str">
        <f>IF(I168=0,"",I168/F168*G168*LOOKUP(B168,L!A:A,L!C:C))</f>
        <v/>
      </c>
      <c r="M168" s="26">
        <f>IF(L168=MIN(L168:L170),1,0)</f>
        <v>0</v>
      </c>
    </row>
    <row r="169" ht="15.0" hidden="1" customHeight="1">
      <c r="A169" s="33" t="s">
        <v>139</v>
      </c>
      <c r="B169" s="28">
        <v>2.0</v>
      </c>
      <c r="C169" s="29" t="s">
        <v>140</v>
      </c>
      <c r="D169" s="21"/>
      <c r="E169" s="21" t="s">
        <v>142</v>
      </c>
      <c r="F169" s="30">
        <v>200.0</v>
      </c>
      <c r="G169" s="30">
        <v>1000.0</v>
      </c>
      <c r="H169" s="35"/>
      <c r="I169" s="36"/>
      <c r="J169" s="36"/>
      <c r="K169" s="25">
        <f t="shared" si="1"/>
        <v>0</v>
      </c>
      <c r="L169" s="25" t="str">
        <f>IF(I169=0,"",I169/F169*G169*LOOKUP(B169,L!A:A,L!C:C))</f>
        <v/>
      </c>
      <c r="M169" s="26">
        <f>IF(L169=MIN(L168:L170),1,0)</f>
        <v>0</v>
      </c>
    </row>
    <row r="170" ht="15.0" hidden="1" customHeight="1">
      <c r="A170" s="33" t="s">
        <v>139</v>
      </c>
      <c r="B170" s="28">
        <v>4.0</v>
      </c>
      <c r="C170" s="29" t="s">
        <v>140</v>
      </c>
      <c r="D170" s="21"/>
      <c r="E170" s="21"/>
      <c r="F170" s="30"/>
      <c r="G170" s="30">
        <v>1000.0</v>
      </c>
      <c r="H170" s="35"/>
      <c r="I170" s="36"/>
      <c r="J170" s="36"/>
      <c r="K170" s="25">
        <f t="shared" si="1"/>
        <v>0</v>
      </c>
      <c r="L170" s="25" t="str">
        <f>IF(I170=0,"",I170/F170*G170*LOOKUP(B170,L!A:A,L!C:C))</f>
        <v/>
      </c>
      <c r="M170" s="26">
        <f>IF(L170=MIN(L168:L170),1,0)</f>
        <v>0</v>
      </c>
    </row>
    <row r="171" ht="15.0" hidden="1" customHeight="1">
      <c r="A171" s="17" t="s">
        <v>48</v>
      </c>
      <c r="B171" s="18">
        <v>1.0</v>
      </c>
      <c r="C171" s="19" t="s">
        <v>143</v>
      </c>
      <c r="D171" s="20"/>
      <c r="E171" s="20" t="s">
        <v>144</v>
      </c>
      <c r="F171" s="38">
        <v>30.0</v>
      </c>
      <c r="G171" s="22">
        <v>1000.0</v>
      </c>
      <c r="H171" s="23"/>
      <c r="I171" s="34">
        <v>2537.59</v>
      </c>
      <c r="J171" s="34"/>
      <c r="K171" s="25">
        <f t="shared" si="1"/>
        <v>0</v>
      </c>
      <c r="L171" s="25">
        <f>IF(I171=0,"",I171/F171*G171*LOOKUP(B171,L!A:A,L!C:C))</f>
        <v>54981.11667</v>
      </c>
      <c r="M171" s="26">
        <f>IF(L171=MIN(L171:L173),1,0)</f>
        <v>1</v>
      </c>
    </row>
    <row r="172" ht="15.0" hidden="1" customHeight="1">
      <c r="A172" s="27" t="s">
        <v>48</v>
      </c>
      <c r="B172" s="28">
        <v>2.0</v>
      </c>
      <c r="C172" s="29" t="s">
        <v>143</v>
      </c>
      <c r="D172" s="21"/>
      <c r="E172" s="21"/>
      <c r="F172" s="30">
        <v>54.0</v>
      </c>
      <c r="G172" s="30">
        <v>1000.0</v>
      </c>
      <c r="H172" s="35"/>
      <c r="I172" s="31">
        <v>4750.0</v>
      </c>
      <c r="J172" s="31"/>
      <c r="K172" s="25">
        <f t="shared" si="1"/>
        <v>0</v>
      </c>
      <c r="L172" s="25">
        <f>IF(I172=0,"",I172/F172*G172*LOOKUP(B172,L!A:A,L!C:C))</f>
        <v>65972.22222</v>
      </c>
      <c r="M172" s="26">
        <f>IF(L172=MIN(L171:L173),1,0)</f>
        <v>0</v>
      </c>
    </row>
    <row r="173" ht="15.0" hidden="1" customHeight="1">
      <c r="A173" s="17" t="s">
        <v>48</v>
      </c>
      <c r="B173" s="28">
        <v>3.0</v>
      </c>
      <c r="C173" s="29" t="s">
        <v>143</v>
      </c>
      <c r="D173" s="21"/>
      <c r="E173" s="21"/>
      <c r="F173" s="30">
        <v>30.0</v>
      </c>
      <c r="G173" s="30">
        <v>1000.0</v>
      </c>
      <c r="H173" s="23">
        <v>1.0</v>
      </c>
      <c r="I173" s="31">
        <v>4749.0</v>
      </c>
      <c r="J173" s="36"/>
      <c r="K173" s="25">
        <f t="shared" si="1"/>
        <v>4749</v>
      </c>
      <c r="L173" s="25">
        <f>IF(I173=0,"",I173/F173*G173*LOOKUP(B173,L!A:A,L!C:C))</f>
        <v>118725</v>
      </c>
      <c r="M173" s="26">
        <f>IF(L173=MIN(L171:L173),1,0)</f>
        <v>0</v>
      </c>
    </row>
    <row r="174" ht="15.0" hidden="1" customHeight="1">
      <c r="A174" s="17" t="s">
        <v>145</v>
      </c>
      <c r="B174" s="18">
        <v>1.0</v>
      </c>
      <c r="C174" s="37" t="s">
        <v>146</v>
      </c>
      <c r="D174" s="21"/>
      <c r="E174" s="21"/>
      <c r="F174" s="38">
        <v>1000.0</v>
      </c>
      <c r="G174" s="22">
        <v>1000.0</v>
      </c>
      <c r="H174" s="35"/>
      <c r="I174" s="34"/>
      <c r="J174" s="34"/>
      <c r="K174" s="25">
        <f t="shared" si="1"/>
        <v>0</v>
      </c>
      <c r="L174" s="25" t="str">
        <f>IF(I174=0,"",I174/F174*G174*LOOKUP(B174,L!A:A,L!C:C))</f>
        <v/>
      </c>
      <c r="M174" s="26">
        <f>IF(L174=MIN(L174:L176),1,0)</f>
        <v>0</v>
      </c>
    </row>
    <row r="175" ht="15.0" hidden="1" customHeight="1">
      <c r="A175" s="27" t="s">
        <v>145</v>
      </c>
      <c r="B175" s="28">
        <v>2.0</v>
      </c>
      <c r="C175" s="37" t="s">
        <v>146</v>
      </c>
      <c r="D175" s="21"/>
      <c r="E175" s="21"/>
      <c r="F175" s="38">
        <v>1000.0</v>
      </c>
      <c r="G175" s="30">
        <v>1000.0</v>
      </c>
      <c r="H175" s="35"/>
      <c r="I175" s="36"/>
      <c r="J175" s="36"/>
      <c r="K175" s="25">
        <f t="shared" si="1"/>
        <v>0</v>
      </c>
      <c r="L175" s="25" t="str">
        <f>IF(I175=0,"",I175/F175*G175*LOOKUP(B175,L!A:A,L!C:C))</f>
        <v/>
      </c>
      <c r="M175" s="26">
        <f>IF(L175=MIN(L174:L176),1,0)</f>
        <v>0</v>
      </c>
    </row>
    <row r="176" ht="15.0" hidden="1" customHeight="1">
      <c r="A176" s="17" t="s">
        <v>145</v>
      </c>
      <c r="B176" s="28">
        <v>4.0</v>
      </c>
      <c r="C176" s="37" t="s">
        <v>146</v>
      </c>
      <c r="D176" s="21"/>
      <c r="E176" s="21"/>
      <c r="F176" s="38">
        <v>1000.0</v>
      </c>
      <c r="G176" s="30">
        <v>1000.0</v>
      </c>
      <c r="H176" s="35"/>
      <c r="I176" s="36"/>
      <c r="J176" s="36"/>
      <c r="K176" s="25">
        <f t="shared" si="1"/>
        <v>0</v>
      </c>
      <c r="L176" s="25" t="str">
        <f>IF(I176=0,"",I176/F176*G176*LOOKUP(B176,L!A:A,L!C:C))</f>
        <v/>
      </c>
      <c r="M176" s="26">
        <f>IF(L176=MIN(L174:L176),1,0)</f>
        <v>0</v>
      </c>
    </row>
    <row r="177" ht="13.5" customHeight="1">
      <c r="A177" s="17" t="s">
        <v>115</v>
      </c>
      <c r="B177" s="18">
        <v>1.0</v>
      </c>
      <c r="C177" s="19" t="s">
        <v>147</v>
      </c>
      <c r="D177" s="21"/>
      <c r="E177" s="20"/>
      <c r="F177" s="22">
        <v>1000.0</v>
      </c>
      <c r="G177" s="22">
        <v>1000.0</v>
      </c>
      <c r="H177" s="23">
        <v>0.0</v>
      </c>
      <c r="I177" s="24">
        <v>22714.0</v>
      </c>
      <c r="J177" s="24"/>
      <c r="K177" s="25">
        <f t="shared" si="1"/>
        <v>0</v>
      </c>
      <c r="L177" s="25">
        <f>IF(I177=0,"",I177/F177*G177*LOOKUP(B177,L!A:A,L!C:C))</f>
        <v>14764.1</v>
      </c>
      <c r="M177" s="26">
        <f>IF(L177=MIN(L177:L179),1,0)</f>
        <v>1</v>
      </c>
    </row>
    <row r="178" ht="15.0" hidden="1" customHeight="1">
      <c r="A178" s="27" t="s">
        <v>115</v>
      </c>
      <c r="B178" s="28">
        <v>2.0</v>
      </c>
      <c r="C178" s="29" t="s">
        <v>147</v>
      </c>
      <c r="D178" s="20"/>
      <c r="E178" s="20"/>
      <c r="F178" s="30">
        <v>1000.0</v>
      </c>
      <c r="G178" s="30">
        <v>1000.0</v>
      </c>
      <c r="H178" s="23"/>
      <c r="I178" s="31">
        <v>20990.0</v>
      </c>
      <c r="J178" s="31"/>
      <c r="K178" s="25">
        <f t="shared" si="1"/>
        <v>0</v>
      </c>
      <c r="L178" s="25">
        <f>IF(I178=0,"",I178/F178*G178*LOOKUP(B178,L!A:A,L!C:C))</f>
        <v>15742.5</v>
      </c>
      <c r="M178" s="26">
        <f>IF(L178=MIN(L177:L179),1,0)</f>
        <v>0</v>
      </c>
    </row>
    <row r="179" ht="15.0" hidden="1" customHeight="1">
      <c r="A179" s="17" t="s">
        <v>115</v>
      </c>
      <c r="B179" s="28">
        <v>7.0</v>
      </c>
      <c r="C179" s="29" t="s">
        <v>147</v>
      </c>
      <c r="D179" s="21"/>
      <c r="E179" s="21"/>
      <c r="F179" s="30">
        <v>1000.0</v>
      </c>
      <c r="G179" s="30">
        <v>1000.0</v>
      </c>
      <c r="H179" s="35"/>
      <c r="I179" s="31">
        <v>27000.0</v>
      </c>
      <c r="J179" s="31"/>
      <c r="K179" s="25">
        <f t="shared" si="1"/>
        <v>0</v>
      </c>
      <c r="L179" s="25">
        <f>IF(I179=0,"",I179/F179*G179*LOOKUP(B179,L!A:A,L!C:C))</f>
        <v>17550</v>
      </c>
      <c r="M179" s="26">
        <f>IF(L179=MIN(L177:L179),1,0)</f>
        <v>0</v>
      </c>
    </row>
    <row r="180" ht="15.0" hidden="1" customHeight="1">
      <c r="A180" s="17" t="s">
        <v>57</v>
      </c>
      <c r="B180" s="18">
        <v>3.0</v>
      </c>
      <c r="C180" s="19" t="s">
        <v>148</v>
      </c>
      <c r="D180" s="21"/>
      <c r="E180" s="21"/>
      <c r="F180" s="38">
        <v>140.0</v>
      </c>
      <c r="G180" s="22">
        <v>1000.0</v>
      </c>
      <c r="H180" s="23"/>
      <c r="I180" s="24">
        <v>7426.3</v>
      </c>
      <c r="J180" s="24"/>
      <c r="K180" s="25">
        <f t="shared" si="1"/>
        <v>0</v>
      </c>
      <c r="L180" s="25">
        <f>IF(I180=0,"",I180/F180*G180*LOOKUP(B180,L!A:A,L!C:C))</f>
        <v>39783.75</v>
      </c>
      <c r="M180" s="26">
        <f>IF(L180=MIN(L180:L182),1,0)</f>
        <v>1</v>
      </c>
    </row>
    <row r="181" ht="15.0" hidden="1" customHeight="1">
      <c r="A181" s="27" t="s">
        <v>57</v>
      </c>
      <c r="B181" s="28">
        <v>2.0</v>
      </c>
      <c r="C181" s="29" t="s">
        <v>148</v>
      </c>
      <c r="D181" s="21"/>
      <c r="E181" s="21"/>
      <c r="F181" s="30">
        <v>90.0</v>
      </c>
      <c r="G181" s="30">
        <v>1000.0</v>
      </c>
      <c r="H181" s="23"/>
      <c r="I181" s="31">
        <v>5250.0</v>
      </c>
      <c r="J181" s="31"/>
      <c r="K181" s="25">
        <f t="shared" si="1"/>
        <v>0</v>
      </c>
      <c r="L181" s="25">
        <f>IF(I181=0,"",I181/F181*G181*LOOKUP(B181,L!A:A,L!C:C))</f>
        <v>43750</v>
      </c>
      <c r="M181" s="26">
        <f>IF(L181=MIN(L180:L182),1,0)</f>
        <v>0</v>
      </c>
    </row>
    <row r="182" ht="15.0" hidden="1" customHeight="1">
      <c r="A182" s="17" t="s">
        <v>57</v>
      </c>
      <c r="B182" s="28">
        <v>4.0</v>
      </c>
      <c r="C182" s="29" t="s">
        <v>148</v>
      </c>
      <c r="D182" s="21"/>
      <c r="E182" s="20" t="s">
        <v>149</v>
      </c>
      <c r="F182" s="30">
        <v>90.0</v>
      </c>
      <c r="G182" s="30">
        <v>1000.0</v>
      </c>
      <c r="H182" s="23"/>
      <c r="I182" s="31">
        <v>4972.5</v>
      </c>
      <c r="J182" s="31"/>
      <c r="K182" s="25">
        <f t="shared" si="1"/>
        <v>0</v>
      </c>
      <c r="L182" s="25">
        <f>IF(I182=0,"",I182/F182*G182*LOOKUP(B182,L!A:A,L!C:C))</f>
        <v>55250</v>
      </c>
      <c r="M182" s="26">
        <f>IF(L182=MIN(L180:L182),1,0)</f>
        <v>0</v>
      </c>
    </row>
    <row r="183" ht="15.0" hidden="1" customHeight="1">
      <c r="A183" s="17" t="s">
        <v>57</v>
      </c>
      <c r="B183" s="18">
        <v>1.0</v>
      </c>
      <c r="C183" s="19" t="s">
        <v>150</v>
      </c>
      <c r="D183" s="21"/>
      <c r="E183" s="21" t="s">
        <v>151</v>
      </c>
      <c r="F183" s="38">
        <v>250.0</v>
      </c>
      <c r="G183" s="22">
        <v>1000.0</v>
      </c>
      <c r="H183" s="23"/>
      <c r="I183" s="24">
        <v>6901.79</v>
      </c>
      <c r="J183" s="24"/>
      <c r="K183" s="25">
        <f t="shared" si="1"/>
        <v>0</v>
      </c>
      <c r="L183" s="25">
        <f>IF(I183=0,"",I183/F183*G183*LOOKUP(B183,L!A:A,L!C:C))</f>
        <v>17944.654</v>
      </c>
      <c r="M183" s="26">
        <f>IF(L183=MIN(L183:L185),1,0)</f>
        <v>0</v>
      </c>
    </row>
    <row r="184" ht="15.0" hidden="1" customHeight="1">
      <c r="A184" s="17" t="s">
        <v>57</v>
      </c>
      <c r="B184" s="18">
        <v>3.0</v>
      </c>
      <c r="C184" s="19" t="s">
        <v>150</v>
      </c>
      <c r="D184" s="21"/>
      <c r="E184" s="21"/>
      <c r="F184" s="38">
        <v>180.0</v>
      </c>
      <c r="G184" s="22">
        <v>1000.0</v>
      </c>
      <c r="H184" s="23"/>
      <c r="I184" s="24">
        <v>3859.0</v>
      </c>
      <c r="J184" s="24"/>
      <c r="K184" s="25">
        <f t="shared" si="1"/>
        <v>0</v>
      </c>
      <c r="L184" s="25">
        <f>IF(I184=0,"",I184/F184*G184*LOOKUP(B184,L!A:A,L!C:C))</f>
        <v>16079.16667</v>
      </c>
      <c r="M184" s="26">
        <f>IF(L184=MIN(L183:L185),1,0)</f>
        <v>1</v>
      </c>
    </row>
    <row r="185" ht="15.0" hidden="1" customHeight="1">
      <c r="A185" s="27" t="s">
        <v>57</v>
      </c>
      <c r="B185" s="28">
        <v>4.0</v>
      </c>
      <c r="C185" s="29" t="s">
        <v>150</v>
      </c>
      <c r="D185" s="21"/>
      <c r="E185" s="21" t="s">
        <v>151</v>
      </c>
      <c r="F185" s="32">
        <v>150.0</v>
      </c>
      <c r="G185" s="30">
        <v>1000.0</v>
      </c>
      <c r="H185" s="23"/>
      <c r="I185" s="31">
        <v>4299.0</v>
      </c>
      <c r="J185" s="31"/>
      <c r="K185" s="25">
        <f t="shared" si="1"/>
        <v>0</v>
      </c>
      <c r="L185" s="25">
        <f>IF(I185=0,"",I185/F185*G185*LOOKUP(B185,L!A:A,L!C:C))</f>
        <v>28660</v>
      </c>
      <c r="M185" s="26">
        <f>IF(L185=MIN(L183:L185),1,0)</f>
        <v>0</v>
      </c>
    </row>
    <row r="186" ht="15.0" hidden="1" customHeight="1">
      <c r="A186" s="17" t="s">
        <v>48</v>
      </c>
      <c r="B186" s="18">
        <v>1.0</v>
      </c>
      <c r="C186" s="19" t="s">
        <v>152</v>
      </c>
      <c r="D186" s="21"/>
      <c r="E186" s="21" t="s">
        <v>153</v>
      </c>
      <c r="F186" s="22">
        <v>450.0</v>
      </c>
      <c r="G186" s="22">
        <v>1000.0</v>
      </c>
      <c r="H186" s="35"/>
      <c r="I186" s="34">
        <v>3343.35</v>
      </c>
      <c r="J186" s="34"/>
      <c r="K186" s="25">
        <f t="shared" si="1"/>
        <v>0</v>
      </c>
      <c r="L186" s="25">
        <f>IF(I186=0,"",I186/F186*G186*LOOKUP(B186,L!A:A,L!C:C))</f>
        <v>4829.283333</v>
      </c>
      <c r="M186" s="26">
        <f>IF(L186=MIN(L186:L188),1,0)</f>
        <v>0</v>
      </c>
    </row>
    <row r="187" ht="15.0" hidden="1" customHeight="1">
      <c r="A187" s="27" t="s">
        <v>48</v>
      </c>
      <c r="B187" s="28">
        <v>4.0</v>
      </c>
      <c r="C187" s="29" t="s">
        <v>152</v>
      </c>
      <c r="D187" s="21"/>
      <c r="E187" s="20" t="s">
        <v>154</v>
      </c>
      <c r="F187" s="32">
        <v>3000.0</v>
      </c>
      <c r="G187" s="30">
        <v>1000.0</v>
      </c>
      <c r="H187" s="35"/>
      <c r="I187" s="31">
        <v>12615.0</v>
      </c>
      <c r="J187" s="31"/>
      <c r="K187" s="25">
        <f t="shared" si="1"/>
        <v>0</v>
      </c>
      <c r="L187" s="25">
        <f>IF(I187=0,"",I187/F187*G187*LOOKUP(B187,L!A:A,L!C:C))</f>
        <v>4205</v>
      </c>
      <c r="M187" s="26">
        <f>IF(L187=MIN(L186:L188),1,0)</f>
        <v>1</v>
      </c>
    </row>
    <row r="188" ht="15.0" hidden="1" customHeight="1">
      <c r="A188" s="17" t="s">
        <v>48</v>
      </c>
      <c r="B188" s="28">
        <v>3.0</v>
      </c>
      <c r="C188" s="29" t="s">
        <v>152</v>
      </c>
      <c r="D188" s="21"/>
      <c r="E188" s="20" t="s">
        <v>155</v>
      </c>
      <c r="F188" s="32">
        <v>900.0</v>
      </c>
      <c r="G188" s="30">
        <v>1000.0</v>
      </c>
      <c r="H188" s="23"/>
      <c r="I188" s="31">
        <v>7309.0</v>
      </c>
      <c r="J188" s="31"/>
      <c r="K188" s="25">
        <f t="shared" si="1"/>
        <v>0</v>
      </c>
      <c r="L188" s="25">
        <f>IF(I188=0,"",I188/F188*G188*LOOKUP(B188,L!A:A,L!C:C))</f>
        <v>6090.833333</v>
      </c>
      <c r="M188" s="26">
        <f>IF(L188=MIN(L186:L188),1,0)</f>
        <v>0</v>
      </c>
    </row>
    <row r="189" ht="15.0" hidden="1" customHeight="1">
      <c r="A189" s="17" t="s">
        <v>48</v>
      </c>
      <c r="B189" s="18">
        <v>1.0</v>
      </c>
      <c r="C189" s="19" t="s">
        <v>156</v>
      </c>
      <c r="D189" s="21"/>
      <c r="E189" s="20" t="s">
        <v>157</v>
      </c>
      <c r="F189" s="38">
        <v>1400.0</v>
      </c>
      <c r="G189" s="22">
        <v>1000.0</v>
      </c>
      <c r="H189" s="23"/>
      <c r="I189" s="24">
        <v>9423.75</v>
      </c>
      <c r="J189" s="24"/>
      <c r="K189" s="25">
        <f t="shared" si="1"/>
        <v>0</v>
      </c>
      <c r="L189" s="25">
        <f>IF(I189=0,"",I189/F189*G189*LOOKUP(B189,L!A:A,L!C:C))</f>
        <v>4375.3125</v>
      </c>
      <c r="M189" s="26">
        <f>IF(L189=MIN(L189:L191),1,0)</f>
        <v>1</v>
      </c>
    </row>
    <row r="190" ht="15.0" hidden="1" customHeight="1">
      <c r="A190" s="27" t="s">
        <v>48</v>
      </c>
      <c r="B190" s="28">
        <v>2.0</v>
      </c>
      <c r="C190" s="29" t="s">
        <v>156</v>
      </c>
      <c r="D190" s="21"/>
      <c r="E190" s="21"/>
      <c r="F190" s="32">
        <v>500.0</v>
      </c>
      <c r="G190" s="30">
        <v>1000.0</v>
      </c>
      <c r="H190" s="23"/>
      <c r="I190" s="31"/>
      <c r="J190" s="31"/>
      <c r="K190" s="25">
        <f t="shared" si="1"/>
        <v>0</v>
      </c>
      <c r="L190" s="25" t="str">
        <f>IF(I190=0,"",I190/F190*G190*LOOKUP(B190,L!A:A,L!C:C))</f>
        <v/>
      </c>
      <c r="M190" s="26">
        <f>IF(L190=MIN(L189:L191),1,0)</f>
        <v>0</v>
      </c>
    </row>
    <row r="191" ht="15.0" hidden="1" customHeight="1">
      <c r="A191" s="17" t="s">
        <v>48</v>
      </c>
      <c r="B191" s="28">
        <v>4.0</v>
      </c>
      <c r="C191" s="29" t="s">
        <v>156</v>
      </c>
      <c r="D191" s="20"/>
      <c r="E191" s="20" t="s">
        <v>158</v>
      </c>
      <c r="F191" s="32">
        <v>750.0</v>
      </c>
      <c r="G191" s="30">
        <v>1000.0</v>
      </c>
      <c r="H191" s="23"/>
      <c r="I191" s="31">
        <v>5389.0</v>
      </c>
      <c r="J191" s="31"/>
      <c r="K191" s="25">
        <f t="shared" si="1"/>
        <v>0</v>
      </c>
      <c r="L191" s="25">
        <f>IF(I191=0,"",I191/F191*G191*LOOKUP(B191,L!A:A,L!C:C))</f>
        <v>7185.333333</v>
      </c>
      <c r="M191" s="26">
        <f>IF(L191=MIN(L189:L191),1,0)</f>
        <v>0</v>
      </c>
    </row>
    <row r="192" ht="15.0" hidden="1" customHeight="1">
      <c r="A192" s="17" t="s">
        <v>48</v>
      </c>
      <c r="B192" s="18">
        <v>1.0</v>
      </c>
      <c r="C192" s="19" t="s">
        <v>159</v>
      </c>
      <c r="D192" s="21"/>
      <c r="E192" s="21" t="s">
        <v>160</v>
      </c>
      <c r="F192" s="22">
        <v>800.0</v>
      </c>
      <c r="G192" s="22">
        <v>1000.0</v>
      </c>
      <c r="H192" s="23"/>
      <c r="I192" s="24">
        <v>2973.85</v>
      </c>
      <c r="J192" s="24"/>
      <c r="K192" s="25">
        <f t="shared" si="1"/>
        <v>0</v>
      </c>
      <c r="L192" s="25">
        <f>IF(I192=0,"",I192/F192*G192*LOOKUP(B192,L!A:A,L!C:C))</f>
        <v>2416.253125</v>
      </c>
      <c r="M192" s="26">
        <f>IF(L192=MIN(L192:L194),1,0)</f>
        <v>0</v>
      </c>
    </row>
    <row r="193" ht="15.0" hidden="1" customHeight="1">
      <c r="A193" s="27" t="s">
        <v>48</v>
      </c>
      <c r="B193" s="28">
        <v>2.0</v>
      </c>
      <c r="C193" s="29" t="s">
        <v>159</v>
      </c>
      <c r="D193" s="21"/>
      <c r="E193" s="21"/>
      <c r="F193" s="30">
        <v>800.0</v>
      </c>
      <c r="G193" s="30">
        <v>1000.0</v>
      </c>
      <c r="H193" s="35"/>
      <c r="I193" s="36">
        <v>2350.0</v>
      </c>
      <c r="J193" s="36"/>
      <c r="K193" s="25">
        <f t="shared" si="1"/>
        <v>0</v>
      </c>
      <c r="L193" s="25">
        <f>IF(I193=0,"",I193/F193*G193*LOOKUP(B193,L!A:A,L!C:C))</f>
        <v>2203.125</v>
      </c>
      <c r="M193" s="26">
        <f>IF(L193=MIN(L192:L194),1,0)</f>
        <v>1</v>
      </c>
    </row>
    <row r="194" ht="15.0" hidden="1" customHeight="1">
      <c r="A194" s="17" t="s">
        <v>48</v>
      </c>
      <c r="B194" s="28">
        <v>4.0</v>
      </c>
      <c r="C194" s="29" t="s">
        <v>159</v>
      </c>
      <c r="D194" s="21"/>
      <c r="E194" s="21" t="s">
        <v>161</v>
      </c>
      <c r="F194" s="30">
        <v>800.0</v>
      </c>
      <c r="G194" s="30">
        <v>1000.0</v>
      </c>
      <c r="H194" s="23"/>
      <c r="I194" s="31"/>
      <c r="J194" s="31"/>
      <c r="K194" s="25">
        <f t="shared" si="1"/>
        <v>0</v>
      </c>
      <c r="L194" s="25" t="str">
        <f>IF(I194=0,"",I194/F194*G194*LOOKUP(B194,L!A:A,L!C:C))</f>
        <v/>
      </c>
      <c r="M194" s="26">
        <f>IF(L194=MIN(L192:L194),1,0)</f>
        <v>0</v>
      </c>
    </row>
    <row r="195" ht="15.0" hidden="1" customHeight="1">
      <c r="A195" s="17" t="s">
        <v>115</v>
      </c>
      <c r="B195" s="18">
        <v>1.0</v>
      </c>
      <c r="C195" s="19" t="s">
        <v>162</v>
      </c>
      <c r="D195" s="21"/>
      <c r="E195" s="21"/>
      <c r="F195" s="22">
        <v>3000.0</v>
      </c>
      <c r="G195" s="22">
        <v>1000.0</v>
      </c>
      <c r="H195" s="35"/>
      <c r="I195" s="34"/>
      <c r="J195" s="34"/>
      <c r="K195" s="25">
        <f t="shared" si="1"/>
        <v>0</v>
      </c>
      <c r="L195" s="25" t="str">
        <f>IF(I195=0,"",I195/F195*G195*LOOKUP(B195,L!A:A,L!C:C))</f>
        <v/>
      </c>
      <c r="M195" s="26">
        <f>IF(L195=MIN(L195:L197),1,0)</f>
        <v>0</v>
      </c>
    </row>
    <row r="196" ht="15.0" hidden="1" customHeight="1">
      <c r="A196" s="17" t="s">
        <v>115</v>
      </c>
      <c r="B196" s="28">
        <v>2.0</v>
      </c>
      <c r="C196" s="19" t="s">
        <v>162</v>
      </c>
      <c r="D196" s="21"/>
      <c r="E196" s="21"/>
      <c r="F196" s="30">
        <v>3000.0</v>
      </c>
      <c r="G196" s="30">
        <v>1000.0</v>
      </c>
      <c r="H196" s="23"/>
      <c r="I196" s="31"/>
      <c r="J196" s="31"/>
      <c r="K196" s="25">
        <f t="shared" si="1"/>
        <v>0</v>
      </c>
      <c r="L196" s="25" t="str">
        <f>IF(I196=0,"",I196/F196*G196*LOOKUP(B196,L!A:A,L!C:C))</f>
        <v/>
      </c>
      <c r="M196" s="26">
        <f>IF(L196=MIN(L195:L197),1,0)</f>
        <v>0</v>
      </c>
    </row>
    <row r="197" ht="15.0" hidden="1" customHeight="1">
      <c r="A197" s="17" t="s">
        <v>115</v>
      </c>
      <c r="B197" s="28">
        <v>5.0</v>
      </c>
      <c r="C197" s="19" t="s">
        <v>162</v>
      </c>
      <c r="D197" s="21"/>
      <c r="E197" s="21"/>
      <c r="F197" s="30">
        <v>3000.0</v>
      </c>
      <c r="G197" s="30">
        <v>1000.0</v>
      </c>
      <c r="H197" s="23"/>
      <c r="I197" s="36"/>
      <c r="J197" s="36"/>
      <c r="K197" s="25">
        <f t="shared" si="1"/>
        <v>0</v>
      </c>
      <c r="L197" s="25" t="str">
        <f>IF(I197=0,"",I197/F197*G197*LOOKUP(B197,L!A:A,L!C:C))</f>
        <v/>
      </c>
      <c r="M197" s="26">
        <f>IF(L197=MIN(L195:L197),1,0)</f>
        <v>0</v>
      </c>
    </row>
    <row r="198" ht="15.0" hidden="1" customHeight="1">
      <c r="A198" s="17" t="s">
        <v>163</v>
      </c>
      <c r="B198" s="18">
        <v>1.0</v>
      </c>
      <c r="C198" s="19" t="s">
        <v>164</v>
      </c>
      <c r="D198" s="21"/>
      <c r="E198" s="21"/>
      <c r="F198" s="22">
        <v>1000.0</v>
      </c>
      <c r="G198" s="22">
        <v>1000.0</v>
      </c>
      <c r="H198" s="23"/>
      <c r="I198" s="24">
        <v>3926.0</v>
      </c>
      <c r="J198" s="24"/>
      <c r="K198" s="25">
        <f t="shared" si="1"/>
        <v>0</v>
      </c>
      <c r="L198" s="25">
        <f>IF(I198=0,"",I198/F198*G198*LOOKUP(B198,L!A:A,L!C:C))</f>
        <v>2551.9</v>
      </c>
      <c r="M198" s="26">
        <f>IF(L198=MIN(L198:L200),1,0)</f>
        <v>1</v>
      </c>
    </row>
    <row r="199" ht="15.0" hidden="1" customHeight="1">
      <c r="A199" s="27" t="s">
        <v>163</v>
      </c>
      <c r="B199" s="28">
        <v>2.0</v>
      </c>
      <c r="C199" s="29" t="s">
        <v>164</v>
      </c>
      <c r="D199" s="21"/>
      <c r="E199" s="21"/>
      <c r="F199" s="30"/>
      <c r="G199" s="30">
        <v>1000.0</v>
      </c>
      <c r="H199" s="23"/>
      <c r="I199" s="36"/>
      <c r="J199" s="36"/>
      <c r="K199" s="25">
        <f t="shared" si="1"/>
        <v>0</v>
      </c>
      <c r="L199" s="25" t="str">
        <f>IF(I199=0,"",I199/F199*G199*LOOKUP(B199,L!A:A,L!C:C))</f>
        <v/>
      </c>
      <c r="M199" s="26">
        <f>IF(L199=MIN(L198:L200),1,0)</f>
        <v>0</v>
      </c>
    </row>
    <row r="200" ht="15.0" hidden="1" customHeight="1">
      <c r="A200" s="17" t="s">
        <v>163</v>
      </c>
      <c r="B200" s="28">
        <v>4.0</v>
      </c>
      <c r="C200" s="29" t="s">
        <v>164</v>
      </c>
      <c r="D200" s="40"/>
      <c r="E200" s="40"/>
      <c r="F200" s="32">
        <v>1000.0</v>
      </c>
      <c r="G200" s="30">
        <v>1000.0</v>
      </c>
      <c r="H200" s="23"/>
      <c r="I200" s="36"/>
      <c r="J200" s="36"/>
      <c r="K200" s="25">
        <f t="shared" si="1"/>
        <v>0</v>
      </c>
      <c r="L200" s="25" t="str">
        <f>IF(I200=0,"",I200/F200*G200*LOOKUP(B200,L!A:A,L!C:C))</f>
        <v/>
      </c>
      <c r="M200" s="26">
        <f>IF(L200=MIN(L198:L200),1,0)</f>
        <v>0</v>
      </c>
    </row>
    <row r="201" ht="15.0" hidden="1" customHeight="1">
      <c r="A201" s="17" t="s">
        <v>59</v>
      </c>
      <c r="B201" s="18">
        <v>1.0</v>
      </c>
      <c r="C201" s="19" t="s">
        <v>165</v>
      </c>
      <c r="D201" s="21"/>
      <c r="E201" s="21"/>
      <c r="F201" s="22">
        <v>400.0</v>
      </c>
      <c r="G201" s="22">
        <v>1000.0</v>
      </c>
      <c r="H201" s="35"/>
      <c r="I201" s="34">
        <v>2849.79</v>
      </c>
      <c r="J201" s="34"/>
      <c r="K201" s="25">
        <f t="shared" si="1"/>
        <v>0</v>
      </c>
      <c r="L201" s="25">
        <f>IF(I201=0,"",I201/F201*G201*LOOKUP(B201,L!A:A,L!C:C))</f>
        <v>4630.90875</v>
      </c>
      <c r="M201" s="26">
        <f>IF(L201=MIN(L201:L203),1,0)</f>
        <v>0</v>
      </c>
    </row>
    <row r="202" ht="15.0" hidden="1" customHeight="1">
      <c r="A202" s="27" t="s">
        <v>59</v>
      </c>
      <c r="B202" s="28">
        <v>2.0</v>
      </c>
      <c r="C202" s="29" t="s">
        <v>165</v>
      </c>
      <c r="D202" s="21"/>
      <c r="E202" s="21"/>
      <c r="F202" s="30">
        <v>400.0</v>
      </c>
      <c r="G202" s="30">
        <v>1000.0</v>
      </c>
      <c r="H202" s="35"/>
      <c r="I202" s="36"/>
      <c r="J202" s="36"/>
      <c r="K202" s="25">
        <f t="shared" si="1"/>
        <v>0</v>
      </c>
      <c r="L202" s="25" t="str">
        <f>IF(I202=0,"",I202/F202*G202*LOOKUP(B202,L!A:A,L!C:C))</f>
        <v/>
      </c>
      <c r="M202" s="26">
        <f>IF(L202=MIN(L201:L203),1,0)</f>
        <v>0</v>
      </c>
    </row>
    <row r="203" ht="15.0" hidden="1" customHeight="1">
      <c r="A203" s="17" t="s">
        <v>59</v>
      </c>
      <c r="B203" s="28">
        <v>3.0</v>
      </c>
      <c r="C203" s="29" t="s">
        <v>165</v>
      </c>
      <c r="D203" s="21"/>
      <c r="E203" s="21"/>
      <c r="F203" s="30">
        <v>400.0</v>
      </c>
      <c r="G203" s="30">
        <v>1000.0</v>
      </c>
      <c r="H203" s="23"/>
      <c r="I203" s="31">
        <v>2069.0</v>
      </c>
      <c r="J203" s="31"/>
      <c r="K203" s="25">
        <f t="shared" si="1"/>
        <v>0</v>
      </c>
      <c r="L203" s="25">
        <f>IF(I203=0,"",I203/F203*G203*LOOKUP(B203,L!A:A,L!C:C))</f>
        <v>3879.375</v>
      </c>
      <c r="M203" s="26">
        <f>IF(L203=MIN(L201:L203),1,0)</f>
        <v>1</v>
      </c>
    </row>
    <row r="204" ht="15.0" hidden="1" customHeight="1">
      <c r="A204" s="17" t="s">
        <v>59</v>
      </c>
      <c r="B204" s="18">
        <v>1.0</v>
      </c>
      <c r="C204" s="19" t="s">
        <v>166</v>
      </c>
      <c r="D204" s="21"/>
      <c r="E204" s="21"/>
      <c r="F204" s="22">
        <v>700.0</v>
      </c>
      <c r="G204" s="22">
        <v>1000.0</v>
      </c>
      <c r="H204" s="35"/>
      <c r="I204" s="34"/>
      <c r="J204" s="34"/>
      <c r="K204" s="25">
        <f t="shared" si="1"/>
        <v>0</v>
      </c>
      <c r="L204" s="25" t="str">
        <f>IF(I204=0,"",I204/F204*G204*LOOKUP(B204,L!A:A,L!C:C))</f>
        <v/>
      </c>
      <c r="M204" s="26">
        <f>IF(L204=MIN(L204:L206),1,0)</f>
        <v>0</v>
      </c>
    </row>
    <row r="205" ht="15.0" hidden="1" customHeight="1">
      <c r="A205" s="27" t="s">
        <v>59</v>
      </c>
      <c r="B205" s="28">
        <v>2.0</v>
      </c>
      <c r="C205" s="29" t="s">
        <v>166</v>
      </c>
      <c r="D205" s="21"/>
      <c r="E205" s="21"/>
      <c r="F205" s="30"/>
      <c r="G205" s="30">
        <v>1000.0</v>
      </c>
      <c r="H205" s="35"/>
      <c r="I205" s="36"/>
      <c r="J205" s="36"/>
      <c r="K205" s="25">
        <f t="shared" si="1"/>
        <v>0</v>
      </c>
      <c r="L205" s="25" t="str">
        <f>IF(I205=0,"",I205/F205*G205*LOOKUP(B205,L!A:A,L!C:C))</f>
        <v/>
      </c>
      <c r="M205" s="26">
        <f>IF(L205=MIN(L204:L206),1,0)</f>
        <v>0</v>
      </c>
    </row>
    <row r="206" ht="15.0" hidden="1" customHeight="1">
      <c r="A206" s="17" t="s">
        <v>59</v>
      </c>
      <c r="B206" s="28">
        <v>4.0</v>
      </c>
      <c r="C206" s="29" t="s">
        <v>166</v>
      </c>
      <c r="D206" s="21"/>
      <c r="E206" s="21"/>
      <c r="F206" s="30"/>
      <c r="G206" s="30">
        <v>1000.0</v>
      </c>
      <c r="H206" s="35"/>
      <c r="I206" s="36"/>
      <c r="J206" s="36"/>
      <c r="K206" s="25">
        <f t="shared" si="1"/>
        <v>0</v>
      </c>
      <c r="L206" s="25" t="str">
        <f>IF(I206=0,"",I206/F206*G206*LOOKUP(B206,L!A:A,L!C:C))</f>
        <v/>
      </c>
      <c r="M206" s="26">
        <f>IF(L206=MIN(L204:L206),1,0)</f>
        <v>0</v>
      </c>
    </row>
    <row r="207" ht="15.0" hidden="1" customHeight="1">
      <c r="A207" s="33" t="s">
        <v>65</v>
      </c>
      <c r="B207" s="18">
        <v>1.0</v>
      </c>
      <c r="C207" s="29" t="s">
        <v>167</v>
      </c>
      <c r="D207" s="21"/>
      <c r="E207" s="21"/>
      <c r="F207" s="30">
        <v>1000.0</v>
      </c>
      <c r="G207" s="30">
        <v>1000.0</v>
      </c>
      <c r="H207" s="23"/>
      <c r="I207" s="24"/>
      <c r="J207" s="24"/>
      <c r="K207" s="25">
        <f t="shared" si="1"/>
        <v>0</v>
      </c>
      <c r="L207" s="25" t="str">
        <f>IF(I207=0,"",I207/F207*G207*LOOKUP(B207,L!A:A,L!C:C))</f>
        <v/>
      </c>
      <c r="M207" s="26">
        <f>IF(L207=MIN(L207:L209),1,0)</f>
        <v>0</v>
      </c>
    </row>
    <row r="208" ht="15.0" hidden="1" customHeight="1">
      <c r="A208" s="33" t="s">
        <v>65</v>
      </c>
      <c r="B208" s="28">
        <v>2.0</v>
      </c>
      <c r="C208" s="29" t="s">
        <v>167</v>
      </c>
      <c r="D208" s="21"/>
      <c r="E208" s="21"/>
      <c r="F208" s="30">
        <v>1000.0</v>
      </c>
      <c r="G208" s="30">
        <v>1000.0</v>
      </c>
      <c r="H208" s="35"/>
      <c r="I208" s="36"/>
      <c r="J208" s="36"/>
      <c r="K208" s="25">
        <f t="shared" si="1"/>
        <v>0</v>
      </c>
      <c r="L208" s="25" t="str">
        <f>IF(I208=0,"",I208/F208*G208*LOOKUP(B208,L!A:A,L!C:C))</f>
        <v/>
      </c>
      <c r="M208" s="26">
        <f>IF(L208=MIN(L207:L209),1,0)</f>
        <v>0</v>
      </c>
    </row>
    <row r="209" ht="15.0" hidden="1" customHeight="1">
      <c r="A209" s="33" t="s">
        <v>65</v>
      </c>
      <c r="B209" s="28">
        <v>4.0</v>
      </c>
      <c r="C209" s="29" t="s">
        <v>167</v>
      </c>
      <c r="D209" s="21"/>
      <c r="E209" s="21"/>
      <c r="F209" s="30">
        <v>1000.0</v>
      </c>
      <c r="G209" s="30">
        <v>1000.0</v>
      </c>
      <c r="H209" s="35"/>
      <c r="I209" s="36"/>
      <c r="J209" s="36"/>
      <c r="K209" s="25">
        <f t="shared" si="1"/>
        <v>0</v>
      </c>
      <c r="L209" s="25" t="str">
        <f>IF(I209=0,"",I209/F209*G209*LOOKUP(B209,L!A:A,L!C:C))</f>
        <v/>
      </c>
      <c r="M209" s="26">
        <f>IF(L209=MIN(L207:L209),1,0)</f>
        <v>0</v>
      </c>
    </row>
    <row r="210" ht="15.0" hidden="1" customHeight="1">
      <c r="A210" s="17" t="s">
        <v>89</v>
      </c>
      <c r="B210" s="18">
        <v>1.0</v>
      </c>
      <c r="C210" s="19" t="s">
        <v>168</v>
      </c>
      <c r="D210" s="20"/>
      <c r="E210" s="20" t="s">
        <v>169</v>
      </c>
      <c r="F210" s="22">
        <v>700.0</v>
      </c>
      <c r="G210" s="22">
        <v>1000.0</v>
      </c>
      <c r="H210" s="23"/>
      <c r="I210" s="24">
        <v>12137.25</v>
      </c>
      <c r="J210" s="24"/>
      <c r="K210" s="25">
        <f t="shared" si="1"/>
        <v>0</v>
      </c>
      <c r="L210" s="25">
        <f>IF(I210=0,"",I210/F210*G210*LOOKUP(B210,L!A:A,L!C:C))</f>
        <v>11270.30357</v>
      </c>
      <c r="M210" s="26">
        <f>IF(L210=MIN(L210:L212),1,0)</f>
        <v>1</v>
      </c>
    </row>
    <row r="211" ht="15.0" hidden="1" customHeight="1">
      <c r="A211" s="27" t="s">
        <v>89</v>
      </c>
      <c r="B211" s="28">
        <v>2.0</v>
      </c>
      <c r="C211" s="29" t="s">
        <v>168</v>
      </c>
      <c r="D211" s="21"/>
      <c r="E211" s="21"/>
      <c r="F211" s="30"/>
      <c r="G211" s="30">
        <v>1000.0</v>
      </c>
      <c r="H211" s="35"/>
      <c r="I211" s="36"/>
      <c r="J211" s="36"/>
      <c r="K211" s="25">
        <f t="shared" si="1"/>
        <v>0</v>
      </c>
      <c r="L211" s="25" t="str">
        <f>IF(I211=0,"",I211/F211*G211*LOOKUP(B211,L!A:A,L!C:C))</f>
        <v/>
      </c>
      <c r="M211" s="26">
        <f>IF(L211=MIN(L210:L212),1,0)</f>
        <v>0</v>
      </c>
    </row>
    <row r="212" ht="15.0" hidden="1" customHeight="1">
      <c r="A212" s="17" t="s">
        <v>89</v>
      </c>
      <c r="B212" s="28">
        <v>4.0</v>
      </c>
      <c r="C212" s="29" t="s">
        <v>168</v>
      </c>
      <c r="D212" s="21"/>
      <c r="E212" s="21"/>
      <c r="F212" s="30"/>
      <c r="G212" s="30">
        <v>1000.0</v>
      </c>
      <c r="H212" s="35"/>
      <c r="I212" s="36"/>
      <c r="J212" s="36"/>
      <c r="K212" s="25">
        <f t="shared" si="1"/>
        <v>0</v>
      </c>
      <c r="L212" s="25" t="str">
        <f>IF(I212=0,"",I212/F212*G212*LOOKUP(B212,L!A:A,L!C:C))</f>
        <v/>
      </c>
      <c r="M212" s="26">
        <f>IF(L212=MIN(L210:L212),1,0)</f>
        <v>0</v>
      </c>
    </row>
    <row r="213" ht="15.0" hidden="1" customHeight="1">
      <c r="A213" s="33" t="s">
        <v>41</v>
      </c>
      <c r="B213" s="18">
        <v>1.0</v>
      </c>
      <c r="C213" s="19" t="s">
        <v>170</v>
      </c>
      <c r="D213" s="21"/>
      <c r="E213" s="21"/>
      <c r="F213" s="22">
        <v>30.0</v>
      </c>
      <c r="G213" s="22">
        <v>1000.0</v>
      </c>
      <c r="H213" s="35"/>
      <c r="I213" s="34"/>
      <c r="J213" s="34"/>
      <c r="K213" s="25">
        <f t="shared" si="1"/>
        <v>0</v>
      </c>
      <c r="L213" s="25" t="str">
        <f>IF(I213=0,"",I213/F213*G213*LOOKUP(B213,L!A:A,L!C:C))</f>
        <v/>
      </c>
      <c r="M213" s="26">
        <f>IF(L213=MIN(L213:L215),1,0)</f>
        <v>0</v>
      </c>
    </row>
    <row r="214" ht="15.0" hidden="1" customHeight="1">
      <c r="A214" s="33" t="s">
        <v>41</v>
      </c>
      <c r="B214" s="28">
        <v>2.0</v>
      </c>
      <c r="C214" s="29" t="s">
        <v>170</v>
      </c>
      <c r="D214" s="21"/>
      <c r="E214" s="21"/>
      <c r="F214" s="32">
        <v>100.0</v>
      </c>
      <c r="G214" s="30">
        <v>1000.0</v>
      </c>
      <c r="H214" s="23"/>
      <c r="I214" s="31">
        <v>1950.0</v>
      </c>
      <c r="J214" s="31"/>
      <c r="K214" s="25">
        <f t="shared" si="1"/>
        <v>0</v>
      </c>
      <c r="L214" s="25">
        <f>IF(I214=0,"",I214/F214*G214*LOOKUP(B214,L!A:A,L!C:C))</f>
        <v>14625</v>
      </c>
      <c r="M214" s="26">
        <f>IF(L214=MIN(L213:L215),1,0)</f>
        <v>1</v>
      </c>
    </row>
    <row r="215" ht="15.0" hidden="1" customHeight="1">
      <c r="A215" s="33" t="s">
        <v>41</v>
      </c>
      <c r="B215" s="28">
        <v>4.0</v>
      </c>
      <c r="C215" s="29" t="s">
        <v>170</v>
      </c>
      <c r="D215" s="21"/>
      <c r="E215" s="21"/>
      <c r="F215" s="32">
        <v>100.0</v>
      </c>
      <c r="G215" s="30">
        <v>1000.0</v>
      </c>
      <c r="H215" s="23"/>
      <c r="I215" s="31">
        <v>2089.0</v>
      </c>
      <c r="J215" s="31"/>
      <c r="K215" s="25">
        <f t="shared" si="1"/>
        <v>0</v>
      </c>
      <c r="L215" s="25">
        <f>IF(I215=0,"",I215/F215*G215*LOOKUP(B215,L!A:A,L!C:C))</f>
        <v>20890</v>
      </c>
      <c r="M215" s="26">
        <f>IF(L215=MIN(L213:L215),1,0)</f>
        <v>0</v>
      </c>
    </row>
    <row r="216" ht="15.0" hidden="1" customHeight="1">
      <c r="A216" s="17" t="s">
        <v>48</v>
      </c>
      <c r="B216" s="18">
        <v>1.0</v>
      </c>
      <c r="C216" s="19" t="s">
        <v>171</v>
      </c>
      <c r="D216" s="21"/>
      <c r="E216" s="20" t="s">
        <v>172</v>
      </c>
      <c r="F216" s="22">
        <v>1.0</v>
      </c>
      <c r="G216" s="22">
        <v>1.0</v>
      </c>
      <c r="H216" s="23"/>
      <c r="I216" s="24">
        <v>1311.85</v>
      </c>
      <c r="J216" s="24"/>
      <c r="K216" s="25">
        <f t="shared" si="1"/>
        <v>0</v>
      </c>
      <c r="L216" s="25">
        <f>IF(I216=0,"",I216/F216*G216*LOOKUP(B216,L!A:A,L!C:C))</f>
        <v>852.7025</v>
      </c>
      <c r="M216" s="26">
        <f>IF(L216=MIN(L216:L218),1,0)</f>
        <v>0</v>
      </c>
    </row>
    <row r="217" ht="15.0" hidden="1" customHeight="1">
      <c r="A217" s="27" t="s">
        <v>48</v>
      </c>
      <c r="B217" s="28">
        <v>2.0</v>
      </c>
      <c r="C217" s="29" t="s">
        <v>171</v>
      </c>
      <c r="D217" s="21"/>
      <c r="E217" s="21"/>
      <c r="F217" s="30">
        <v>1.0</v>
      </c>
      <c r="G217" s="30">
        <v>1.0</v>
      </c>
      <c r="H217" s="35"/>
      <c r="I217" s="36">
        <v>900.0</v>
      </c>
      <c r="J217" s="36"/>
      <c r="K217" s="25">
        <f t="shared" si="1"/>
        <v>0</v>
      </c>
      <c r="L217" s="25">
        <f>IF(I217=0,"",I217/F217*G217*LOOKUP(B217,L!A:A,L!C:C))</f>
        <v>675</v>
      </c>
      <c r="M217" s="26">
        <f>IF(L217=MIN(L216:L218),1,0)</f>
        <v>1</v>
      </c>
    </row>
    <row r="218" ht="15.0" hidden="1" customHeight="1">
      <c r="A218" s="17" t="s">
        <v>48</v>
      </c>
      <c r="B218" s="28">
        <v>4.0</v>
      </c>
      <c r="C218" s="29" t="s">
        <v>171</v>
      </c>
      <c r="D218" s="21"/>
      <c r="E218" s="21"/>
      <c r="F218" s="30">
        <v>1.0</v>
      </c>
      <c r="G218" s="30">
        <v>1.0</v>
      </c>
      <c r="H218" s="35"/>
      <c r="I218" s="36"/>
      <c r="J218" s="36"/>
      <c r="K218" s="25">
        <f t="shared" si="1"/>
        <v>0</v>
      </c>
      <c r="L218" s="25" t="str">
        <f>IF(I218=0,"",I218/F218*G218*LOOKUP(B218,L!A:A,L!C:C))</f>
        <v/>
      </c>
      <c r="M218" s="26">
        <f>IF(L218=MIN(L216:L218),1,0)</f>
        <v>0</v>
      </c>
    </row>
    <row r="219" ht="15.0" hidden="1" customHeight="1">
      <c r="A219" s="17" t="s">
        <v>57</v>
      </c>
      <c r="B219" s="18">
        <v>1.0</v>
      </c>
      <c r="C219" s="19" t="s">
        <v>173</v>
      </c>
      <c r="D219" s="21"/>
      <c r="E219" s="21"/>
      <c r="F219" s="38">
        <v>312.0</v>
      </c>
      <c r="G219" s="22">
        <v>1000.0</v>
      </c>
      <c r="H219" s="35"/>
      <c r="I219" s="24">
        <v>10940.75</v>
      </c>
      <c r="J219" s="24"/>
      <c r="K219" s="25">
        <f t="shared" si="1"/>
        <v>0</v>
      </c>
      <c r="L219" s="25">
        <f>IF(I219=0,"",I219/F219*G219*LOOKUP(B219,L!A:A,L!C:C))</f>
        <v>22793.22917</v>
      </c>
      <c r="M219" s="26">
        <f>IF(L219=MIN(L219:L221),1,0)</f>
        <v>1</v>
      </c>
    </row>
    <row r="220" ht="15.0" hidden="1" customHeight="1">
      <c r="A220" s="27" t="s">
        <v>57</v>
      </c>
      <c r="B220" s="28">
        <v>2.0</v>
      </c>
      <c r="C220" s="29" t="s">
        <v>173</v>
      </c>
      <c r="D220" s="21"/>
      <c r="E220" s="21"/>
      <c r="F220" s="30">
        <v>312.0</v>
      </c>
      <c r="G220" s="30">
        <v>1000.0</v>
      </c>
      <c r="H220" s="23"/>
      <c r="I220" s="31">
        <v>15000.0</v>
      </c>
      <c r="J220" s="31"/>
      <c r="K220" s="25">
        <f t="shared" si="1"/>
        <v>0</v>
      </c>
      <c r="L220" s="25">
        <f>IF(I220=0,"",I220/F220*G220*LOOKUP(B220,L!A:A,L!C:C))</f>
        <v>36057.69231</v>
      </c>
      <c r="M220" s="26">
        <f>IF(L220=MIN(L219:L221),1,0)</f>
        <v>0</v>
      </c>
    </row>
    <row r="221" ht="15.0" hidden="1" customHeight="1">
      <c r="A221" s="17" t="s">
        <v>57</v>
      </c>
      <c r="B221" s="28">
        <v>4.0</v>
      </c>
      <c r="C221" s="29" t="s">
        <v>173</v>
      </c>
      <c r="D221" s="21"/>
      <c r="E221" s="21"/>
      <c r="F221" s="30">
        <v>312.0</v>
      </c>
      <c r="G221" s="30">
        <v>1000.0</v>
      </c>
      <c r="H221" s="35"/>
      <c r="I221" s="36"/>
      <c r="J221" s="36"/>
      <c r="K221" s="25">
        <f t="shared" si="1"/>
        <v>0</v>
      </c>
      <c r="L221" s="25" t="str">
        <f>IF(I221=0,"",I221/F221*G221*LOOKUP(B221,L!A:A,L!C:C))</f>
        <v/>
      </c>
      <c r="M221" s="26">
        <f>IF(L221=MIN(L219:L221),1,0)</f>
        <v>0</v>
      </c>
    </row>
    <row r="222" ht="15.0" hidden="1" customHeight="1">
      <c r="A222" s="17" t="s">
        <v>57</v>
      </c>
      <c r="B222" s="18">
        <v>1.0</v>
      </c>
      <c r="C222" s="19" t="s">
        <v>174</v>
      </c>
      <c r="D222" s="21"/>
      <c r="E222" s="21"/>
      <c r="F222" s="22"/>
      <c r="G222" s="22">
        <v>1000.0</v>
      </c>
      <c r="H222" s="35"/>
      <c r="I222" s="34"/>
      <c r="J222" s="34"/>
      <c r="K222" s="25">
        <f t="shared" si="1"/>
        <v>0</v>
      </c>
      <c r="L222" s="25" t="str">
        <f>IF(I222=0,"",I222/F222*G222*LOOKUP(B222,L!A:A,L!C:C))</f>
        <v/>
      </c>
      <c r="M222" s="26">
        <f>IF(L222=MIN(L222:L224),1,0)</f>
        <v>0</v>
      </c>
    </row>
    <row r="223" ht="15.0" hidden="1" customHeight="1">
      <c r="A223" s="27" t="s">
        <v>57</v>
      </c>
      <c r="B223" s="28">
        <v>2.0</v>
      </c>
      <c r="C223" s="29" t="s">
        <v>174</v>
      </c>
      <c r="D223" s="21"/>
      <c r="E223" s="21"/>
      <c r="F223" s="30"/>
      <c r="G223" s="30">
        <v>1000.0</v>
      </c>
      <c r="H223" s="35"/>
      <c r="I223" s="36"/>
      <c r="J223" s="36"/>
      <c r="K223" s="25">
        <f t="shared" si="1"/>
        <v>0</v>
      </c>
      <c r="L223" s="25" t="str">
        <f>IF(I223=0,"",I223/F223*G223*LOOKUP(B223,L!A:A,L!C:C))</f>
        <v/>
      </c>
      <c r="M223" s="26">
        <f>IF(L223=MIN(L222:L224),1,0)</f>
        <v>0</v>
      </c>
    </row>
    <row r="224" ht="15.0" hidden="1" customHeight="1">
      <c r="A224" s="17" t="s">
        <v>57</v>
      </c>
      <c r="B224" s="28">
        <v>4.0</v>
      </c>
      <c r="C224" s="29" t="s">
        <v>174</v>
      </c>
      <c r="D224" s="21"/>
      <c r="E224" s="21"/>
      <c r="F224" s="30"/>
      <c r="G224" s="30">
        <v>1000.0</v>
      </c>
      <c r="H224" s="35"/>
      <c r="I224" s="36"/>
      <c r="J224" s="36"/>
      <c r="K224" s="25">
        <f t="shared" si="1"/>
        <v>0</v>
      </c>
      <c r="L224" s="25" t="str">
        <f>IF(I224=0,"",I224/F224*G224*LOOKUP(B224,L!A:A,L!C:C))</f>
        <v/>
      </c>
      <c r="M224" s="26">
        <f>IF(L224=MIN(L222:L224),1,0)</f>
        <v>0</v>
      </c>
    </row>
    <row r="225" ht="15.0" hidden="1" customHeight="1">
      <c r="A225" s="33" t="s">
        <v>71</v>
      </c>
      <c r="B225" s="18">
        <v>1.0</v>
      </c>
      <c r="C225" s="19" t="s">
        <v>175</v>
      </c>
      <c r="D225" s="20"/>
      <c r="E225" s="20" t="s">
        <v>176</v>
      </c>
      <c r="F225" s="22">
        <v>500.0</v>
      </c>
      <c r="G225" s="22">
        <v>1000.0</v>
      </c>
      <c r="H225" s="23"/>
      <c r="I225" s="24">
        <v>3997.89</v>
      </c>
      <c r="J225" s="24"/>
      <c r="K225" s="25">
        <f t="shared" si="1"/>
        <v>0</v>
      </c>
      <c r="L225" s="25">
        <f>IF(I225=0,"",I225/F225*G225*LOOKUP(B225,L!A:A,L!C:C))</f>
        <v>5197.257</v>
      </c>
      <c r="M225" s="26">
        <f>IF(L225=MIN(L225:L227),1,0)</f>
        <v>1</v>
      </c>
    </row>
    <row r="226" ht="15.0" hidden="1" customHeight="1">
      <c r="A226" s="33" t="s">
        <v>71</v>
      </c>
      <c r="B226" s="28">
        <v>2.0</v>
      </c>
      <c r="C226" s="29" t="s">
        <v>175</v>
      </c>
      <c r="D226" s="21"/>
      <c r="E226" s="21" t="s">
        <v>177</v>
      </c>
      <c r="F226" s="30">
        <v>500.0</v>
      </c>
      <c r="G226" s="30">
        <v>1000.0</v>
      </c>
      <c r="H226" s="35"/>
      <c r="I226" s="36"/>
      <c r="J226" s="36"/>
      <c r="K226" s="25">
        <f t="shared" si="1"/>
        <v>0</v>
      </c>
      <c r="L226" s="25" t="str">
        <f>IF(I226=0,"",I226/F226*G226*LOOKUP(B226,L!A:A,L!C:C))</f>
        <v/>
      </c>
      <c r="M226" s="26">
        <f>IF(L226=MIN(L225:L227),1,0)</f>
        <v>0</v>
      </c>
    </row>
    <row r="227" ht="15.0" hidden="1" customHeight="1">
      <c r="A227" s="33" t="s">
        <v>71</v>
      </c>
      <c r="B227" s="28">
        <v>4.0</v>
      </c>
      <c r="C227" s="29" t="s">
        <v>175</v>
      </c>
      <c r="D227" s="21"/>
      <c r="E227" s="21"/>
      <c r="F227" s="30"/>
      <c r="G227" s="30">
        <v>1000.0</v>
      </c>
      <c r="H227" s="35"/>
      <c r="I227" s="36"/>
      <c r="J227" s="36"/>
      <c r="K227" s="25">
        <f t="shared" si="1"/>
        <v>0</v>
      </c>
      <c r="L227" s="25" t="str">
        <f>IF(I227=0,"",I227/F227*G227*LOOKUP(B227,L!A:A,L!C:C))</f>
        <v/>
      </c>
      <c r="M227" s="26">
        <f>IF(L227=MIN(L225:L227),1,0)</f>
        <v>0</v>
      </c>
    </row>
    <row r="228" ht="15.0" hidden="1" customHeight="1">
      <c r="A228" s="33" t="s">
        <v>71</v>
      </c>
      <c r="B228" s="18">
        <v>1.0</v>
      </c>
      <c r="C228" s="19" t="s">
        <v>178</v>
      </c>
      <c r="D228" s="21"/>
      <c r="E228" s="21"/>
      <c r="F228" s="38">
        <v>250.0</v>
      </c>
      <c r="G228" s="22">
        <v>1000.0</v>
      </c>
      <c r="H228" s="23"/>
      <c r="I228" s="24">
        <v>2050.35</v>
      </c>
      <c r="J228" s="24"/>
      <c r="K228" s="25">
        <f t="shared" si="1"/>
        <v>0</v>
      </c>
      <c r="L228" s="25">
        <f>IF(I228=0,"",I228/F228*G228*LOOKUP(B228,L!A:A,L!C:C))</f>
        <v>5330.91</v>
      </c>
      <c r="M228" s="26">
        <f>IF(L228=MIN(L228:L230),1,0)</f>
        <v>1</v>
      </c>
    </row>
    <row r="229" ht="15.0" hidden="1" customHeight="1">
      <c r="A229" s="33" t="s">
        <v>71</v>
      </c>
      <c r="B229" s="28">
        <v>2.0</v>
      </c>
      <c r="C229" s="29" t="s">
        <v>178</v>
      </c>
      <c r="D229" s="21"/>
      <c r="E229" s="21"/>
      <c r="F229" s="30"/>
      <c r="G229" s="30">
        <v>1000.0</v>
      </c>
      <c r="H229" s="23"/>
      <c r="I229" s="36"/>
      <c r="J229" s="36"/>
      <c r="K229" s="25">
        <f t="shared" si="1"/>
        <v>0</v>
      </c>
      <c r="L229" s="25" t="str">
        <f>IF(I229=0,"",I229/F229*G229*LOOKUP(B229,L!A:A,L!C:C))</f>
        <v/>
      </c>
      <c r="M229" s="26">
        <f>IF(L229=MIN(L228:L230),1,0)</f>
        <v>0</v>
      </c>
    </row>
    <row r="230" ht="15.0" hidden="1" customHeight="1">
      <c r="A230" s="33" t="s">
        <v>71</v>
      </c>
      <c r="B230" s="28">
        <v>4.0</v>
      </c>
      <c r="C230" s="29" t="s">
        <v>178</v>
      </c>
      <c r="D230" s="21"/>
      <c r="E230" s="21"/>
      <c r="F230" s="30">
        <v>400.0</v>
      </c>
      <c r="G230" s="30">
        <v>1000.0</v>
      </c>
      <c r="H230" s="35"/>
      <c r="I230" s="36"/>
      <c r="J230" s="36"/>
      <c r="K230" s="25">
        <f t="shared" si="1"/>
        <v>0</v>
      </c>
      <c r="L230" s="25" t="str">
        <f>IF(I230=0,"",I230/F230*G230*LOOKUP(B230,L!A:A,L!C:C))</f>
        <v/>
      </c>
      <c r="M230" s="26">
        <f>IF(L230=MIN(L228:L230),1,0)</f>
        <v>0</v>
      </c>
    </row>
    <row r="231" ht="15.0" hidden="1" customHeight="1">
      <c r="A231" s="33" t="s">
        <v>71</v>
      </c>
      <c r="B231" s="18">
        <v>1.0</v>
      </c>
      <c r="C231" s="19" t="s">
        <v>179</v>
      </c>
      <c r="D231" s="22"/>
      <c r="E231" s="22"/>
      <c r="F231" s="22">
        <v>500.0</v>
      </c>
      <c r="G231" s="22">
        <v>1000.0</v>
      </c>
      <c r="H231" s="23"/>
      <c r="I231" s="24">
        <v>912.63</v>
      </c>
      <c r="J231" s="24"/>
      <c r="K231" s="25">
        <f t="shared" si="1"/>
        <v>0</v>
      </c>
      <c r="L231" s="25">
        <f>IF(I231=0,"",I231/F231*G231*LOOKUP(B231,L!A:A,L!C:C))</f>
        <v>1186.419</v>
      </c>
      <c r="M231" s="26">
        <f>IF(L231=MIN(L231:L233),1,0)</f>
        <v>1</v>
      </c>
    </row>
    <row r="232" ht="15.0" hidden="1" customHeight="1">
      <c r="A232" s="33" t="s">
        <v>71</v>
      </c>
      <c r="B232" s="28">
        <v>2.0</v>
      </c>
      <c r="C232" s="29" t="s">
        <v>179</v>
      </c>
      <c r="D232" s="21"/>
      <c r="E232" s="21" t="s">
        <v>86</v>
      </c>
      <c r="F232" s="30">
        <v>500.0</v>
      </c>
      <c r="G232" s="30">
        <v>1000.0</v>
      </c>
      <c r="H232" s="23"/>
      <c r="I232" s="31">
        <v>1850.0</v>
      </c>
      <c r="J232" s="31"/>
      <c r="K232" s="25">
        <f t="shared" si="1"/>
        <v>0</v>
      </c>
      <c r="L232" s="25">
        <f>IF(I232=0,"",I232/F232*G232*LOOKUP(B232,L!A:A,L!C:C))</f>
        <v>2775</v>
      </c>
      <c r="M232" s="26">
        <f>IF(L232=MIN(L231:L233),1,0)</f>
        <v>0</v>
      </c>
    </row>
    <row r="233" ht="15.0" hidden="1" customHeight="1">
      <c r="A233" s="33" t="s">
        <v>71</v>
      </c>
      <c r="B233" s="28">
        <v>4.0</v>
      </c>
      <c r="C233" s="29" t="s">
        <v>179</v>
      </c>
      <c r="D233" s="21"/>
      <c r="E233" s="21"/>
      <c r="F233" s="30"/>
      <c r="G233" s="30">
        <v>1000.0</v>
      </c>
      <c r="H233" s="35"/>
      <c r="I233" s="36"/>
      <c r="J233" s="36"/>
      <c r="K233" s="25">
        <f t="shared" si="1"/>
        <v>0</v>
      </c>
      <c r="L233" s="25" t="str">
        <f>IF(I233=0,"",I233/F233*G233*LOOKUP(B233,L!A:A,L!C:C))</f>
        <v/>
      </c>
      <c r="M233" s="26">
        <f>IF(L233=MIN(L231:L233),1,0)</f>
        <v>0</v>
      </c>
    </row>
    <row r="234" ht="15.0" hidden="1" customHeight="1">
      <c r="A234" s="33" t="s">
        <v>71</v>
      </c>
      <c r="B234" s="18">
        <v>1.0</v>
      </c>
      <c r="C234" s="19" t="s">
        <v>180</v>
      </c>
      <c r="D234" s="21"/>
      <c r="E234" s="21"/>
      <c r="F234" s="22">
        <v>500.0</v>
      </c>
      <c r="G234" s="22">
        <v>1000.0</v>
      </c>
      <c r="H234" s="23"/>
      <c r="I234" s="24">
        <v>1339.99</v>
      </c>
      <c r="J234" s="24"/>
      <c r="K234" s="25">
        <f t="shared" si="1"/>
        <v>0</v>
      </c>
      <c r="L234" s="25">
        <f>IF(I234=0,"",I234/F234*G234*LOOKUP(B234,L!A:A,L!C:C))</f>
        <v>1741.987</v>
      </c>
      <c r="M234" s="26">
        <f>IF(L234=MIN(L234:L236),1,0)</f>
        <v>1</v>
      </c>
    </row>
    <row r="235" ht="15.0" hidden="1" customHeight="1">
      <c r="A235" s="33" t="s">
        <v>71</v>
      </c>
      <c r="B235" s="28">
        <v>2.0</v>
      </c>
      <c r="C235" s="29" t="s">
        <v>180</v>
      </c>
      <c r="D235" s="21"/>
      <c r="E235" s="21"/>
      <c r="F235" s="30">
        <v>500.0</v>
      </c>
      <c r="G235" s="30">
        <v>1000.0</v>
      </c>
      <c r="H235" s="23"/>
      <c r="I235" s="36"/>
      <c r="J235" s="36"/>
      <c r="K235" s="25">
        <f t="shared" si="1"/>
        <v>0</v>
      </c>
      <c r="L235" s="25" t="str">
        <f>IF(I235=0,"",I235/F235*G235*LOOKUP(B235,L!A:A,L!C:C))</f>
        <v/>
      </c>
      <c r="M235" s="26">
        <f>IF(L235=MIN(L234:L236),1,0)</f>
        <v>0</v>
      </c>
    </row>
    <row r="236" ht="15.0" hidden="1" customHeight="1">
      <c r="A236" s="33" t="s">
        <v>71</v>
      </c>
      <c r="B236" s="28">
        <v>4.0</v>
      </c>
      <c r="C236" s="29" t="s">
        <v>180</v>
      </c>
      <c r="D236" s="21"/>
      <c r="E236" s="21"/>
      <c r="F236" s="30">
        <v>500.0</v>
      </c>
      <c r="G236" s="30">
        <v>1000.0</v>
      </c>
      <c r="H236" s="23"/>
      <c r="I236" s="31"/>
      <c r="J236" s="31"/>
      <c r="K236" s="25">
        <f t="shared" si="1"/>
        <v>0</v>
      </c>
      <c r="L236" s="25" t="str">
        <f>IF(I236=0,"",I236/F236*G236*LOOKUP(B236,L!A:A,L!C:C))</f>
        <v/>
      </c>
      <c r="M236" s="26">
        <f>IF(L236=MIN(L234:L236),1,0)</f>
        <v>0</v>
      </c>
    </row>
    <row r="237" ht="15.0" hidden="1" customHeight="1">
      <c r="A237" s="17" t="s">
        <v>48</v>
      </c>
      <c r="B237" s="18">
        <v>1.0</v>
      </c>
      <c r="C237" s="19" t="s">
        <v>181</v>
      </c>
      <c r="D237" s="21"/>
      <c r="E237" s="21"/>
      <c r="F237" s="22">
        <v>400.0</v>
      </c>
      <c r="G237" s="22">
        <v>1000.0</v>
      </c>
      <c r="H237" s="23"/>
      <c r="I237" s="34">
        <v>997.59</v>
      </c>
      <c r="J237" s="34"/>
      <c r="K237" s="25">
        <f t="shared" si="1"/>
        <v>0</v>
      </c>
      <c r="L237" s="25">
        <f>IF(I237=0,"",I237/F237*G237*LOOKUP(B237,L!A:A,L!C:C))</f>
        <v>1621.08375</v>
      </c>
      <c r="M237" s="26">
        <f>IF(L237=MIN(L237:L239),1,0)</f>
        <v>1</v>
      </c>
    </row>
    <row r="238" ht="15.0" hidden="1" customHeight="1">
      <c r="A238" s="27" t="s">
        <v>48</v>
      </c>
      <c r="B238" s="28">
        <v>2.0</v>
      </c>
      <c r="C238" s="29" t="s">
        <v>181</v>
      </c>
      <c r="D238" s="21"/>
      <c r="E238" s="21"/>
      <c r="F238" s="30">
        <v>400.0</v>
      </c>
      <c r="G238" s="30">
        <v>1000.0</v>
      </c>
      <c r="H238" s="23"/>
      <c r="I238" s="36">
        <v>1650.0</v>
      </c>
      <c r="J238" s="36"/>
      <c r="K238" s="25">
        <f t="shared" si="1"/>
        <v>0</v>
      </c>
      <c r="L238" s="25">
        <f>IF(I238=0,"",I238/F238*G238*LOOKUP(B238,L!A:A,L!C:C))</f>
        <v>3093.75</v>
      </c>
      <c r="M238" s="26">
        <f>IF(L238=MIN(L237:L239),1,0)</f>
        <v>0</v>
      </c>
    </row>
    <row r="239" ht="15.0" hidden="1" customHeight="1">
      <c r="A239" s="17" t="s">
        <v>48</v>
      </c>
      <c r="B239" s="28">
        <v>4.0</v>
      </c>
      <c r="C239" s="29" t="s">
        <v>181</v>
      </c>
      <c r="D239" s="21"/>
      <c r="E239" s="21"/>
      <c r="F239" s="32">
        <v>400.0</v>
      </c>
      <c r="G239" s="30">
        <v>1000.0</v>
      </c>
      <c r="H239" s="23"/>
      <c r="I239" s="36"/>
      <c r="J239" s="36"/>
      <c r="K239" s="25">
        <f t="shared" si="1"/>
        <v>0</v>
      </c>
      <c r="L239" s="25" t="str">
        <f>IF(I239=0,"",I239/F239*G239*LOOKUP(B239,L!A:A,L!C:C))</f>
        <v/>
      </c>
      <c r="M239" s="26">
        <f>IF(L239=MIN(L237:L239),1,0)</f>
        <v>0</v>
      </c>
    </row>
    <row r="240" ht="15.0" hidden="1" customHeight="1">
      <c r="A240" s="17" t="s">
        <v>145</v>
      </c>
      <c r="B240" s="18">
        <v>1.0</v>
      </c>
      <c r="C240" s="19" t="s">
        <v>182</v>
      </c>
      <c r="D240" s="21"/>
      <c r="E240" s="21"/>
      <c r="F240" s="22">
        <v>1000.0</v>
      </c>
      <c r="G240" s="22">
        <v>1000.0</v>
      </c>
      <c r="H240" s="35"/>
      <c r="I240" s="34"/>
      <c r="J240" s="34"/>
      <c r="K240" s="25">
        <f t="shared" si="1"/>
        <v>0</v>
      </c>
      <c r="L240" s="25" t="str">
        <f>IF(I240=0,"",I240/F240*G240*LOOKUP(B240,L!A:A,L!C:C))</f>
        <v/>
      </c>
      <c r="M240" s="26">
        <f>IF(L240=MIN(L240:L242),1,0)</f>
        <v>0</v>
      </c>
    </row>
    <row r="241" ht="15.0" hidden="1" customHeight="1">
      <c r="A241" s="27" t="s">
        <v>145</v>
      </c>
      <c r="B241" s="28">
        <v>2.0</v>
      </c>
      <c r="C241" s="29" t="s">
        <v>182</v>
      </c>
      <c r="D241" s="21"/>
      <c r="E241" s="21"/>
      <c r="F241" s="38">
        <v>1000.0</v>
      </c>
      <c r="G241" s="30">
        <v>1000.0</v>
      </c>
      <c r="H241" s="35"/>
      <c r="I241" s="36"/>
      <c r="J241" s="36"/>
      <c r="K241" s="25">
        <f t="shared" si="1"/>
        <v>0</v>
      </c>
      <c r="L241" s="25" t="str">
        <f>IF(I241=0,"",I241/F241*G241*LOOKUP(B241,L!A:A,L!C:C))</f>
        <v/>
      </c>
      <c r="M241" s="26">
        <f>IF(L241=MIN(L240:L242),1,0)</f>
        <v>0</v>
      </c>
    </row>
    <row r="242" ht="15.0" hidden="1" customHeight="1">
      <c r="A242" s="17" t="s">
        <v>145</v>
      </c>
      <c r="B242" s="28">
        <v>4.0</v>
      </c>
      <c r="C242" s="29" t="s">
        <v>182</v>
      </c>
      <c r="D242" s="21"/>
      <c r="E242" s="21"/>
      <c r="F242" s="38">
        <v>1000.0</v>
      </c>
      <c r="G242" s="30">
        <v>1000.0</v>
      </c>
      <c r="H242" s="35"/>
      <c r="I242" s="36"/>
      <c r="J242" s="36"/>
      <c r="K242" s="25">
        <f t="shared" si="1"/>
        <v>0</v>
      </c>
      <c r="L242" s="25" t="str">
        <f>IF(I242=0,"",I242/F242*G242*LOOKUP(B242,L!A:A,L!C:C))</f>
        <v/>
      </c>
      <c r="M242" s="26">
        <f>IF(L242=MIN(L240:L242),1,0)</f>
        <v>0</v>
      </c>
    </row>
    <row r="243" ht="15.0" hidden="1" customHeight="1">
      <c r="A243" s="33" t="s">
        <v>65</v>
      </c>
      <c r="B243" s="18">
        <v>1.0</v>
      </c>
      <c r="C243" s="19" t="s">
        <v>183</v>
      </c>
      <c r="D243" s="21"/>
      <c r="E243" s="21"/>
      <c r="F243" s="22">
        <v>1000.0</v>
      </c>
      <c r="G243" s="22">
        <v>1000.0</v>
      </c>
      <c r="H243" s="35"/>
      <c r="I243" s="34"/>
      <c r="J243" s="34"/>
      <c r="K243" s="25">
        <f t="shared" si="1"/>
        <v>0</v>
      </c>
      <c r="L243" s="25" t="str">
        <f>IF(I243=0,"",I243/F243*G243*LOOKUP(B243,L!A:A,L!C:C))</f>
        <v/>
      </c>
      <c r="M243" s="26">
        <f>IF(L243=MIN(L243:L245),1,0)</f>
        <v>0</v>
      </c>
    </row>
    <row r="244" ht="15.0" hidden="1" customHeight="1">
      <c r="A244" s="33" t="s">
        <v>65</v>
      </c>
      <c r="B244" s="28">
        <v>2.0</v>
      </c>
      <c r="C244" s="29" t="s">
        <v>183</v>
      </c>
      <c r="D244" s="21"/>
      <c r="E244" s="21"/>
      <c r="F244" s="30"/>
      <c r="G244" s="30">
        <v>1000.0</v>
      </c>
      <c r="H244" s="35"/>
      <c r="I244" s="36"/>
      <c r="J244" s="36"/>
      <c r="K244" s="25">
        <f t="shared" si="1"/>
        <v>0</v>
      </c>
      <c r="L244" s="25" t="str">
        <f>IF(I244=0,"",I244/F244*G244*LOOKUP(B244,L!A:A,L!C:C))</f>
        <v/>
      </c>
      <c r="M244" s="26">
        <f>IF(L244=MIN(L243:L245),1,0)</f>
        <v>0</v>
      </c>
    </row>
    <row r="245" ht="15.0" hidden="1" customHeight="1">
      <c r="A245" s="33" t="s">
        <v>65</v>
      </c>
      <c r="B245" s="28">
        <v>4.0</v>
      </c>
      <c r="C245" s="29" t="s">
        <v>183</v>
      </c>
      <c r="D245" s="21"/>
      <c r="E245" s="21"/>
      <c r="F245" s="30"/>
      <c r="G245" s="30">
        <v>1000.0</v>
      </c>
      <c r="H245" s="35"/>
      <c r="I245" s="36"/>
      <c r="J245" s="36"/>
      <c r="K245" s="25">
        <f t="shared" si="1"/>
        <v>0</v>
      </c>
      <c r="L245" s="25" t="str">
        <f>IF(I245=0,"",I245/F245*G245*LOOKUP(B245,L!A:A,L!C:C))</f>
        <v/>
      </c>
      <c r="M245" s="26">
        <f>IF(L245=MIN(L243:L245),1,0)</f>
        <v>0</v>
      </c>
    </row>
    <row r="246" ht="15.0" customHeight="1">
      <c r="A246" s="17" t="s">
        <v>145</v>
      </c>
      <c r="B246" s="18">
        <v>1.0</v>
      </c>
      <c r="C246" s="37" t="s">
        <v>184</v>
      </c>
      <c r="D246" s="20"/>
      <c r="E246" s="20" t="s">
        <v>185</v>
      </c>
      <c r="F246" s="22">
        <v>260.0</v>
      </c>
      <c r="G246" s="22">
        <v>1000.0</v>
      </c>
      <c r="H246" s="23">
        <v>0.0</v>
      </c>
      <c r="I246" s="24">
        <v>2473.75</v>
      </c>
      <c r="J246" s="34"/>
      <c r="K246" s="25">
        <f t="shared" si="1"/>
        <v>0</v>
      </c>
      <c r="L246" s="25">
        <f>IF(I246=0,"",I246/F246*G246*LOOKUP(B246,L!A:A,L!C:C))</f>
        <v>6184.375</v>
      </c>
      <c r="M246" s="26">
        <f>IF(L246=MIN(L246:L248),1,0)</f>
        <v>0</v>
      </c>
    </row>
    <row r="247" ht="15.0" hidden="1" customHeight="1">
      <c r="A247" s="27" t="s">
        <v>145</v>
      </c>
      <c r="B247" s="28">
        <v>2.0</v>
      </c>
      <c r="C247" s="37" t="s">
        <v>184</v>
      </c>
      <c r="D247" s="20"/>
      <c r="E247" s="20" t="s">
        <v>185</v>
      </c>
      <c r="F247" s="30"/>
      <c r="G247" s="30">
        <v>1000.0</v>
      </c>
      <c r="H247" s="35"/>
      <c r="I247" s="36"/>
      <c r="J247" s="36"/>
      <c r="K247" s="25">
        <f t="shared" si="1"/>
        <v>0</v>
      </c>
      <c r="L247" s="25" t="str">
        <f>IF(I247=0,"",I247/F247*G247*LOOKUP(B247,L!A:A,L!C:C))</f>
        <v/>
      </c>
      <c r="M247" s="26">
        <f>IF(L247=MIN(L246:L248),1,0)</f>
        <v>0</v>
      </c>
    </row>
    <row r="248" ht="15.0" customHeight="1">
      <c r="A248" s="17" t="s">
        <v>145</v>
      </c>
      <c r="B248" s="28">
        <v>1.0</v>
      </c>
      <c r="C248" s="37" t="s">
        <v>184</v>
      </c>
      <c r="D248" s="20"/>
      <c r="E248" s="20" t="s">
        <v>186</v>
      </c>
      <c r="F248" s="32">
        <v>330.0</v>
      </c>
      <c r="G248" s="30">
        <v>1000.0</v>
      </c>
      <c r="H248" s="23">
        <v>0.0</v>
      </c>
      <c r="I248" s="31">
        <v>2205.85</v>
      </c>
      <c r="J248" s="36"/>
      <c r="K248" s="25">
        <f t="shared" si="1"/>
        <v>0</v>
      </c>
      <c r="L248" s="25">
        <f>IF(I248=0,"",I248/F248*G248*LOOKUP(B248,L!A:A,L!C:C))</f>
        <v>4344.856061</v>
      </c>
      <c r="M248" s="26">
        <f>IF(L248=MIN(L246:L248),1,0)</f>
        <v>1</v>
      </c>
    </row>
    <row r="249" ht="15.0" hidden="1" customHeight="1">
      <c r="A249" s="17" t="s">
        <v>89</v>
      </c>
      <c r="B249" s="18">
        <v>1.0</v>
      </c>
      <c r="C249" s="19" t="s">
        <v>187</v>
      </c>
      <c r="D249" s="21"/>
      <c r="E249" s="21"/>
      <c r="F249" s="22">
        <v>150.0</v>
      </c>
      <c r="G249" s="22">
        <v>1000.0</v>
      </c>
      <c r="H249" s="23"/>
      <c r="I249" s="34"/>
      <c r="J249" s="34"/>
      <c r="K249" s="25">
        <f t="shared" si="1"/>
        <v>0</v>
      </c>
      <c r="L249" s="25" t="str">
        <f>IF(I249=0,"",I249/F249*G249*LOOKUP(B249,L!A:A,L!C:C))</f>
        <v/>
      </c>
      <c r="M249" s="26">
        <f>IF(L249=MIN(L249:L251),1,0)</f>
        <v>0</v>
      </c>
    </row>
    <row r="250" ht="15.0" hidden="1" customHeight="1">
      <c r="A250" s="27" t="s">
        <v>89</v>
      </c>
      <c r="B250" s="28">
        <v>2.0</v>
      </c>
      <c r="C250" s="29" t="s">
        <v>187</v>
      </c>
      <c r="D250" s="21"/>
      <c r="E250" s="21"/>
      <c r="F250" s="32">
        <v>100.0</v>
      </c>
      <c r="G250" s="30">
        <v>1000.0</v>
      </c>
      <c r="H250" s="23"/>
      <c r="I250" s="31">
        <v>5250.0</v>
      </c>
      <c r="J250" s="31"/>
      <c r="K250" s="25">
        <f t="shared" si="1"/>
        <v>0</v>
      </c>
      <c r="L250" s="25">
        <f>IF(I250=0,"",I250/F250*G250*LOOKUP(B250,L!A:A,L!C:C))</f>
        <v>39375</v>
      </c>
      <c r="M250" s="26">
        <f>IF(L250=MIN(L249:L251),1,0)</f>
        <v>1</v>
      </c>
    </row>
    <row r="251" ht="15.0" hidden="1" customHeight="1">
      <c r="A251" s="17" t="s">
        <v>89</v>
      </c>
      <c r="B251" s="28">
        <v>4.0</v>
      </c>
      <c r="C251" s="29" t="s">
        <v>187</v>
      </c>
      <c r="D251" s="21"/>
      <c r="E251" s="21"/>
      <c r="F251" s="30"/>
      <c r="G251" s="30">
        <v>1000.0</v>
      </c>
      <c r="H251" s="35"/>
      <c r="I251" s="36"/>
      <c r="J251" s="36"/>
      <c r="K251" s="25">
        <f t="shared" si="1"/>
        <v>0</v>
      </c>
      <c r="L251" s="25" t="str">
        <f>IF(I251=0,"",I251/F251*G251*LOOKUP(B251,L!A:A,L!C:C))</f>
        <v/>
      </c>
      <c r="M251" s="26">
        <f>IF(L251=MIN(L249:L251),1,0)</f>
        <v>0</v>
      </c>
    </row>
    <row r="252" ht="15.0" hidden="1" customHeight="1">
      <c r="A252" s="27" t="s">
        <v>59</v>
      </c>
      <c r="B252" s="18">
        <v>1.0</v>
      </c>
      <c r="C252" s="29" t="s">
        <v>188</v>
      </c>
      <c r="D252" s="21"/>
      <c r="E252" s="20" t="s">
        <v>189</v>
      </c>
      <c r="F252" s="38">
        <v>30.0</v>
      </c>
      <c r="G252" s="22">
        <v>1000.0</v>
      </c>
      <c r="H252" s="23"/>
      <c r="I252" s="24">
        <f>734.85</f>
        <v>734.85</v>
      </c>
      <c r="J252" s="24"/>
      <c r="K252" s="25">
        <f t="shared" si="1"/>
        <v>0</v>
      </c>
      <c r="L252" s="25">
        <f>IF(I252=0,"",I252/F252*G252*LOOKUP(B252,L!A:A,L!C:C))</f>
        <v>15921.75</v>
      </c>
      <c r="M252" s="26">
        <f>IF(L252=MIN(L252:L254),1,0)</f>
        <v>1</v>
      </c>
    </row>
    <row r="253" ht="15.0" hidden="1" customHeight="1">
      <c r="A253" s="27" t="s">
        <v>59</v>
      </c>
      <c r="B253" s="28">
        <v>2.0</v>
      </c>
      <c r="C253" s="29" t="s">
        <v>188</v>
      </c>
      <c r="D253" s="21"/>
      <c r="E253" s="21"/>
      <c r="F253" s="32">
        <v>50.0</v>
      </c>
      <c r="G253" s="30">
        <v>1000.0</v>
      </c>
      <c r="H253" s="23"/>
      <c r="I253" s="31"/>
      <c r="J253" s="31"/>
      <c r="K253" s="25">
        <f t="shared" si="1"/>
        <v>0</v>
      </c>
      <c r="L253" s="25" t="str">
        <f>IF(I253=0,"",I253/F253*G253*LOOKUP(B253,L!A:A,L!C:C))</f>
        <v/>
      </c>
      <c r="M253" s="26">
        <f>IF(L253=MIN(L252:L254),1,0)</f>
        <v>0</v>
      </c>
    </row>
    <row r="254" ht="15.0" hidden="1" customHeight="1">
      <c r="A254" s="17" t="s">
        <v>59</v>
      </c>
      <c r="B254" s="28">
        <v>4.0</v>
      </c>
      <c r="C254" s="29" t="s">
        <v>188</v>
      </c>
      <c r="D254" s="21"/>
      <c r="E254" s="21"/>
      <c r="F254" s="32">
        <v>50.0</v>
      </c>
      <c r="G254" s="30">
        <v>1000.0</v>
      </c>
      <c r="H254" s="23"/>
      <c r="I254" s="31"/>
      <c r="J254" s="36"/>
      <c r="K254" s="25">
        <f t="shared" si="1"/>
        <v>0</v>
      </c>
      <c r="L254" s="25" t="str">
        <f>IF(I254=0,"",I254/F254*G254*LOOKUP(B254,L!A:A,L!C:C))</f>
        <v/>
      </c>
      <c r="M254" s="26">
        <f>IF(L254=MIN(L252:L254),1,0)</f>
        <v>0</v>
      </c>
    </row>
    <row r="255" ht="15.0" hidden="1" customHeight="1">
      <c r="A255" s="33" t="s">
        <v>71</v>
      </c>
      <c r="B255" s="18">
        <v>1.0</v>
      </c>
      <c r="C255" s="37" t="s">
        <v>190</v>
      </c>
      <c r="D255" s="21"/>
      <c r="E255" s="21"/>
      <c r="F255" s="22">
        <v>1000.0</v>
      </c>
      <c r="G255" s="22">
        <v>1000.0</v>
      </c>
      <c r="H255" s="23"/>
      <c r="I255" s="24">
        <v>705.0</v>
      </c>
      <c r="J255" s="24"/>
      <c r="K255" s="25">
        <f t="shared" si="1"/>
        <v>0</v>
      </c>
      <c r="L255" s="25">
        <f>IF(I255=0,"",I255/F255*G255*LOOKUP(B255,L!A:A,L!C:C))</f>
        <v>458.25</v>
      </c>
      <c r="M255" s="26">
        <f>IF(L255=MIN(L255:L257),1,0)</f>
        <v>1</v>
      </c>
    </row>
    <row r="256" ht="15.0" hidden="1" customHeight="1">
      <c r="A256" s="33" t="s">
        <v>71</v>
      </c>
      <c r="B256" s="28">
        <v>2.0</v>
      </c>
      <c r="C256" s="39" t="s">
        <v>190</v>
      </c>
      <c r="D256" s="21"/>
      <c r="E256" s="21" t="s">
        <v>191</v>
      </c>
      <c r="F256" s="30">
        <v>1000.0</v>
      </c>
      <c r="G256" s="30">
        <v>1000.0</v>
      </c>
      <c r="H256" s="23"/>
      <c r="I256" s="31">
        <v>1050.0</v>
      </c>
      <c r="J256" s="31"/>
      <c r="K256" s="25">
        <f t="shared" si="1"/>
        <v>0</v>
      </c>
      <c r="L256" s="25">
        <f>IF(I256=0,"",I256/F256*G256*LOOKUP(B256,L!A:A,L!C:C))</f>
        <v>787.5</v>
      </c>
      <c r="M256" s="26">
        <f>IF(L256=MIN(L255:L257),1,0)</f>
        <v>0</v>
      </c>
    </row>
    <row r="257" ht="15.0" hidden="1" customHeight="1">
      <c r="A257" s="33" t="s">
        <v>71</v>
      </c>
      <c r="B257" s="28">
        <v>4.0</v>
      </c>
      <c r="C257" s="39" t="s">
        <v>190</v>
      </c>
      <c r="D257" s="20"/>
      <c r="E257" s="20" t="s">
        <v>192</v>
      </c>
      <c r="F257" s="30">
        <v>1000.0</v>
      </c>
      <c r="G257" s="30">
        <v>1000.0</v>
      </c>
      <c r="H257" s="23"/>
      <c r="I257" s="31">
        <v>939.0</v>
      </c>
      <c r="J257" s="31"/>
      <c r="K257" s="25">
        <f t="shared" si="1"/>
        <v>0</v>
      </c>
      <c r="L257" s="25">
        <f>IF(I257=0,"",I257/F257*G257*LOOKUP(B257,L!A:A,L!C:C))</f>
        <v>939</v>
      </c>
      <c r="M257" s="26">
        <f>IF(L257=MIN(L255:L257),1,0)</f>
        <v>0</v>
      </c>
    </row>
    <row r="258" ht="15.0" hidden="1" customHeight="1">
      <c r="A258" s="17" t="s">
        <v>48</v>
      </c>
      <c r="B258" s="18">
        <v>1.0</v>
      </c>
      <c r="C258" s="19" t="s">
        <v>193</v>
      </c>
      <c r="D258" s="21"/>
      <c r="E258" s="21"/>
      <c r="F258" s="22">
        <v>515.0</v>
      </c>
      <c r="G258" s="22">
        <v>1000.0</v>
      </c>
      <c r="H258" s="35"/>
      <c r="I258" s="24">
        <v>4360.49</v>
      </c>
      <c r="J258" s="24"/>
      <c r="K258" s="25">
        <f t="shared" si="1"/>
        <v>0</v>
      </c>
      <c r="L258" s="25">
        <f>IF(I258=0,"",I258/F258*G258*LOOKUP(B258,L!A:A,L!C:C))</f>
        <v>5503.531068</v>
      </c>
      <c r="M258" s="26">
        <f>IF(L258=MIN(L258:L260),1,0)</f>
        <v>1</v>
      </c>
    </row>
    <row r="259" ht="15.0" hidden="1" customHeight="1">
      <c r="A259" s="27" t="s">
        <v>48</v>
      </c>
      <c r="B259" s="28">
        <v>2.0</v>
      </c>
      <c r="C259" s="29" t="s">
        <v>193</v>
      </c>
      <c r="D259" s="21"/>
      <c r="E259" s="21"/>
      <c r="F259" s="30">
        <v>500.0</v>
      </c>
      <c r="G259" s="30">
        <v>1000.0</v>
      </c>
      <c r="H259" s="35"/>
      <c r="I259" s="36"/>
      <c r="J259" s="36"/>
      <c r="K259" s="25">
        <f t="shared" si="1"/>
        <v>0</v>
      </c>
      <c r="L259" s="25" t="str">
        <f>IF(I259=0,"",I259/F259*G259*LOOKUP(B259,L!A:A,L!C:C))</f>
        <v/>
      </c>
      <c r="M259" s="26">
        <f>IF(L259=MIN(L258:L260),1,0)</f>
        <v>0</v>
      </c>
    </row>
    <row r="260" ht="15.0" hidden="1" customHeight="1">
      <c r="A260" s="17" t="s">
        <v>48</v>
      </c>
      <c r="B260" s="28">
        <v>4.0</v>
      </c>
      <c r="C260" s="29" t="s">
        <v>193</v>
      </c>
      <c r="D260" s="21"/>
      <c r="E260" s="21"/>
      <c r="F260" s="30">
        <v>515.0</v>
      </c>
      <c r="G260" s="30">
        <v>1000.0</v>
      </c>
      <c r="H260" s="23"/>
      <c r="I260" s="31">
        <v>4139.0</v>
      </c>
      <c r="J260" s="36"/>
      <c r="K260" s="25">
        <f t="shared" si="1"/>
        <v>0</v>
      </c>
      <c r="L260" s="25">
        <f>IF(I260=0,"",I260/F260*G260*LOOKUP(B260,L!A:A,L!C:C))</f>
        <v>8036.893204</v>
      </c>
      <c r="M260" s="26">
        <f>IF(L260=MIN(L258:L260),1,0)</f>
        <v>0</v>
      </c>
    </row>
    <row r="261" ht="15.0" hidden="1" customHeight="1">
      <c r="A261" s="27" t="s">
        <v>163</v>
      </c>
      <c r="B261" s="18">
        <v>1.0</v>
      </c>
      <c r="C261" s="29" t="s">
        <v>194</v>
      </c>
      <c r="D261" s="21"/>
      <c r="E261" s="21"/>
      <c r="F261" s="38">
        <v>1000.0</v>
      </c>
      <c r="G261" s="38">
        <v>1000.0</v>
      </c>
      <c r="H261" s="23"/>
      <c r="I261" s="24"/>
      <c r="J261" s="24"/>
      <c r="K261" s="25">
        <f t="shared" si="1"/>
        <v>0</v>
      </c>
      <c r="L261" s="25" t="str">
        <f>IF(I261=0,"",I261/F261*G261*LOOKUP(B261,L!A:A,L!C:C))</f>
        <v/>
      </c>
      <c r="M261" s="26">
        <f>IF(L261=MIN(L261:L263),1,0)</f>
        <v>0</v>
      </c>
    </row>
    <row r="262" ht="15.0" hidden="1" customHeight="1">
      <c r="A262" s="27" t="s">
        <v>163</v>
      </c>
      <c r="B262" s="28">
        <v>2.0</v>
      </c>
      <c r="C262" s="29" t="s">
        <v>194</v>
      </c>
      <c r="D262" s="21"/>
      <c r="E262" s="21"/>
      <c r="F262" s="38">
        <v>1000.0</v>
      </c>
      <c r="G262" s="30">
        <v>1000.0</v>
      </c>
      <c r="H262" s="35"/>
      <c r="I262" s="36"/>
      <c r="J262" s="36"/>
      <c r="K262" s="25">
        <f t="shared" si="1"/>
        <v>0</v>
      </c>
      <c r="L262" s="25" t="str">
        <f>IF(I262=0,"",I262/F262*G262*LOOKUP(B262,L!A:A,L!C:C))</f>
        <v/>
      </c>
      <c r="M262" s="26">
        <f>IF(L262=MIN(L261:L263),1,0)</f>
        <v>0</v>
      </c>
    </row>
    <row r="263" ht="15.0" hidden="1" customHeight="1">
      <c r="A263" s="17" t="s">
        <v>163</v>
      </c>
      <c r="B263" s="28">
        <v>4.0</v>
      </c>
      <c r="C263" s="29" t="s">
        <v>194</v>
      </c>
      <c r="D263" s="21"/>
      <c r="E263" s="21"/>
      <c r="F263" s="38">
        <v>1000.0</v>
      </c>
      <c r="G263" s="30">
        <v>1000.0</v>
      </c>
      <c r="H263" s="35"/>
      <c r="I263" s="36"/>
      <c r="J263" s="36"/>
      <c r="K263" s="25">
        <f t="shared" si="1"/>
        <v>0</v>
      </c>
      <c r="L263" s="25" t="str">
        <f>IF(I263=0,"",I263/F263*G263*LOOKUP(B263,L!A:A,L!C:C))</f>
        <v/>
      </c>
      <c r="M263" s="26">
        <f>IF(L263=MIN(L261:L263),1,0)</f>
        <v>0</v>
      </c>
    </row>
    <row r="264" ht="15.0" hidden="1" customHeight="1">
      <c r="A264" s="17" t="s">
        <v>195</v>
      </c>
      <c r="B264" s="18">
        <v>1.0</v>
      </c>
      <c r="C264" s="19" t="s">
        <v>196</v>
      </c>
      <c r="D264" s="21"/>
      <c r="E264" s="21"/>
      <c r="F264" s="22"/>
      <c r="G264" s="38">
        <v>1000.0</v>
      </c>
      <c r="H264" s="35"/>
      <c r="I264" s="34"/>
      <c r="J264" s="34"/>
      <c r="K264" s="25">
        <f t="shared" si="1"/>
        <v>0</v>
      </c>
      <c r="L264" s="25" t="str">
        <f>IF(I264=0,"",I264/F264*G264*LOOKUP(B264,L!A:A,L!C:C))</f>
        <v/>
      </c>
      <c r="M264" s="26">
        <f>IF(L264=MIN(L264:L266),1,0)</f>
        <v>0</v>
      </c>
    </row>
    <row r="265" ht="15.0" hidden="1" customHeight="1">
      <c r="A265" s="27" t="s">
        <v>195</v>
      </c>
      <c r="B265" s="28">
        <v>2.0</v>
      </c>
      <c r="C265" s="29" t="s">
        <v>196</v>
      </c>
      <c r="D265" s="21"/>
      <c r="E265" s="21"/>
      <c r="F265" s="30"/>
      <c r="G265" s="38">
        <v>1000.0</v>
      </c>
      <c r="H265" s="35"/>
      <c r="I265" s="36"/>
      <c r="J265" s="36"/>
      <c r="K265" s="25">
        <f t="shared" si="1"/>
        <v>0</v>
      </c>
      <c r="L265" s="25" t="str">
        <f>IF(I265=0,"",I265/F265*G265*LOOKUP(B265,L!A:A,L!C:C))</f>
        <v/>
      </c>
      <c r="M265" s="26">
        <f>IF(L265=MIN(L264:L266),1,0)</f>
        <v>0</v>
      </c>
    </row>
    <row r="266" ht="15.0" hidden="1" customHeight="1">
      <c r="A266" s="17" t="s">
        <v>195</v>
      </c>
      <c r="B266" s="28">
        <v>4.0</v>
      </c>
      <c r="C266" s="29" t="s">
        <v>196</v>
      </c>
      <c r="D266" s="21"/>
      <c r="E266" s="21"/>
      <c r="F266" s="30"/>
      <c r="G266" s="38">
        <v>1000.0</v>
      </c>
      <c r="H266" s="35"/>
      <c r="I266" s="36"/>
      <c r="J266" s="36"/>
      <c r="K266" s="25">
        <f t="shared" si="1"/>
        <v>0</v>
      </c>
      <c r="L266" s="25" t="str">
        <f>IF(I266=0,"",I266/F266*G266*LOOKUP(B266,L!A:A,L!C:C))</f>
        <v/>
      </c>
      <c r="M266" s="26">
        <f>IF(L266=MIN(L264:L266),1,0)</f>
        <v>0</v>
      </c>
    </row>
    <row r="267" ht="15.0" customHeight="1">
      <c r="A267" s="17" t="s">
        <v>115</v>
      </c>
      <c r="B267" s="18">
        <v>1.0</v>
      </c>
      <c r="C267" s="37" t="s">
        <v>197</v>
      </c>
      <c r="D267" s="21"/>
      <c r="E267" s="20" t="s">
        <v>198</v>
      </c>
      <c r="F267" s="30">
        <v>1000.0</v>
      </c>
      <c r="G267" s="30">
        <v>1000.0</v>
      </c>
      <c r="H267" s="23">
        <v>0.0</v>
      </c>
      <c r="I267" s="24">
        <v>16273.0</v>
      </c>
      <c r="J267" s="34"/>
      <c r="K267" s="25">
        <f t="shared" si="1"/>
        <v>0</v>
      </c>
      <c r="L267" s="25">
        <f>IF(I267=0,"",I267/F267*G267*LOOKUP(B267,L!A:A,L!C:C))</f>
        <v>10577.45</v>
      </c>
      <c r="M267" s="26">
        <f>IF(L267=MIN(L267:L269),1,0)</f>
        <v>1</v>
      </c>
    </row>
    <row r="268" ht="15.0" hidden="1" customHeight="1">
      <c r="A268" s="17" t="s">
        <v>115</v>
      </c>
      <c r="B268" s="18">
        <v>2.0</v>
      </c>
      <c r="C268" s="37" t="s">
        <v>197</v>
      </c>
      <c r="D268" s="21"/>
      <c r="E268" s="20" t="s">
        <v>199</v>
      </c>
      <c r="F268" s="30">
        <v>1000.0</v>
      </c>
      <c r="G268" s="30">
        <v>1000.0</v>
      </c>
      <c r="H268" s="23"/>
      <c r="I268" s="24"/>
      <c r="J268" s="24"/>
      <c r="K268" s="25">
        <f t="shared" si="1"/>
        <v>0</v>
      </c>
      <c r="L268" s="25" t="str">
        <f>IF(I268=0,"",I268/F268*G268*LOOKUP(B268,L!A:A,L!C:C))</f>
        <v/>
      </c>
      <c r="M268" s="26">
        <f>IF(L268=MIN(L267:L269),1,0)</f>
        <v>0</v>
      </c>
    </row>
    <row r="269" ht="15.0" hidden="1" customHeight="1">
      <c r="A269" s="17" t="s">
        <v>115</v>
      </c>
      <c r="B269" s="18">
        <v>4.0</v>
      </c>
      <c r="C269" s="37" t="s">
        <v>197</v>
      </c>
      <c r="D269" s="21"/>
      <c r="E269" s="21"/>
      <c r="F269" s="30">
        <v>1000.0</v>
      </c>
      <c r="G269" s="30">
        <v>1000.0</v>
      </c>
      <c r="H269" s="23"/>
      <c r="I269" s="34"/>
      <c r="J269" s="34"/>
      <c r="K269" s="25">
        <f t="shared" si="1"/>
        <v>0</v>
      </c>
      <c r="L269" s="25" t="str">
        <f>IF(I269=0,"",I269/F269*G269*LOOKUP(B269,L!A:A,L!C:C))</f>
        <v/>
      </c>
      <c r="M269" s="26">
        <f>IF(L269=MIN(L267:L269),1,0)</f>
        <v>0</v>
      </c>
    </row>
    <row r="270" ht="15.0" hidden="1" customHeight="1">
      <c r="A270" s="17" t="s">
        <v>115</v>
      </c>
      <c r="B270" s="18">
        <v>1.0</v>
      </c>
      <c r="C270" s="19" t="s">
        <v>200</v>
      </c>
      <c r="D270" s="21"/>
      <c r="E270" s="21"/>
      <c r="F270" s="22">
        <v>1000.0</v>
      </c>
      <c r="G270" s="22">
        <v>1000.0</v>
      </c>
      <c r="H270" s="23"/>
      <c r="I270" s="24">
        <v>5550.0</v>
      </c>
      <c r="J270" s="34"/>
      <c r="K270" s="25">
        <f t="shared" si="1"/>
        <v>0</v>
      </c>
      <c r="L270" s="25">
        <f>IF(I270=0,"",I270/F270*G270*LOOKUP(B270,L!A:A,L!C:C))</f>
        <v>3607.5</v>
      </c>
      <c r="M270" s="26">
        <f>IF(L270=MIN(L270:L272),1,0)</f>
        <v>1</v>
      </c>
    </row>
    <row r="271" ht="15.0" hidden="1" customHeight="1">
      <c r="A271" s="27" t="s">
        <v>115</v>
      </c>
      <c r="B271" s="28">
        <v>2.0</v>
      </c>
      <c r="C271" s="29" t="s">
        <v>200</v>
      </c>
      <c r="D271" s="21"/>
      <c r="E271" s="21"/>
      <c r="F271" s="30">
        <v>1000.0</v>
      </c>
      <c r="G271" s="30">
        <v>1000.0</v>
      </c>
      <c r="H271" s="23"/>
      <c r="I271" s="36"/>
      <c r="J271" s="36"/>
      <c r="K271" s="25">
        <f t="shared" si="1"/>
        <v>0</v>
      </c>
      <c r="L271" s="25" t="str">
        <f>IF(I271=0,"",I271/F271*G271*LOOKUP(B271,L!A:A,L!C:C))</f>
        <v/>
      </c>
      <c r="M271" s="26">
        <f>IF(L271=MIN(L270:L272),1,0)</f>
        <v>0</v>
      </c>
    </row>
    <row r="272" ht="15.0" hidden="1" customHeight="1">
      <c r="A272" s="17" t="s">
        <v>115</v>
      </c>
      <c r="B272" s="28">
        <v>4.0</v>
      </c>
      <c r="C272" s="29" t="s">
        <v>200</v>
      </c>
      <c r="D272" s="21"/>
      <c r="E272" s="21"/>
      <c r="F272" s="30">
        <v>1000.0</v>
      </c>
      <c r="G272" s="30">
        <v>1000.0</v>
      </c>
      <c r="H272" s="23"/>
      <c r="I272" s="36"/>
      <c r="J272" s="36"/>
      <c r="K272" s="25">
        <f t="shared" si="1"/>
        <v>0</v>
      </c>
      <c r="L272" s="25" t="str">
        <f>IF(I272=0,"",I272/F272*G272*LOOKUP(B272,L!A:A,L!C:C))</f>
        <v/>
      </c>
      <c r="M272" s="26">
        <f>IF(L272=MIN(L270:L272),1,0)</f>
        <v>0</v>
      </c>
    </row>
    <row r="273" ht="15.0" hidden="1" customHeight="1">
      <c r="A273" s="17" t="s">
        <v>57</v>
      </c>
      <c r="B273" s="18">
        <v>1.0</v>
      </c>
      <c r="C273" s="19" t="s">
        <v>201</v>
      </c>
      <c r="D273" s="21"/>
      <c r="E273" s="21"/>
      <c r="F273" s="22">
        <v>150.0</v>
      </c>
      <c r="G273" s="22">
        <v>100.0</v>
      </c>
      <c r="H273" s="35"/>
      <c r="I273" s="34"/>
      <c r="J273" s="34"/>
      <c r="K273" s="25">
        <f t="shared" si="1"/>
        <v>0</v>
      </c>
      <c r="L273" s="25" t="str">
        <f>IF(I273=0,"",I273/F273*G273*LOOKUP(B273,L!A:A,L!C:C))</f>
        <v/>
      </c>
      <c r="M273" s="26">
        <f>IF(L273=MIN(L273:L275),1,0)</f>
        <v>0</v>
      </c>
    </row>
    <row r="274" ht="15.0" hidden="1" customHeight="1">
      <c r="A274" s="27" t="s">
        <v>57</v>
      </c>
      <c r="B274" s="28">
        <v>2.0</v>
      </c>
      <c r="C274" s="29" t="s">
        <v>201</v>
      </c>
      <c r="D274" s="21"/>
      <c r="E274" s="21"/>
      <c r="F274" s="30">
        <v>75.0</v>
      </c>
      <c r="G274" s="30">
        <v>100.0</v>
      </c>
      <c r="H274" s="35"/>
      <c r="I274" s="36"/>
      <c r="J274" s="36"/>
      <c r="K274" s="25">
        <f t="shared" si="1"/>
        <v>0</v>
      </c>
      <c r="L274" s="25" t="str">
        <f>IF(I274=0,"",I274/F274*G274*LOOKUP(B274,L!A:A,L!C:C))</f>
        <v/>
      </c>
      <c r="M274" s="26">
        <f>IF(L274=MIN(L273:L275),1,0)</f>
        <v>0</v>
      </c>
    </row>
    <row r="275" ht="15.0" hidden="1" customHeight="1">
      <c r="A275" s="17" t="s">
        <v>57</v>
      </c>
      <c r="B275" s="28">
        <v>4.0</v>
      </c>
      <c r="C275" s="29" t="s">
        <v>201</v>
      </c>
      <c r="D275" s="21"/>
      <c r="E275" s="21"/>
      <c r="F275" s="30"/>
      <c r="G275" s="30">
        <v>100.0</v>
      </c>
      <c r="H275" s="35"/>
      <c r="I275" s="36"/>
      <c r="J275" s="36"/>
      <c r="K275" s="25">
        <f t="shared" si="1"/>
        <v>0</v>
      </c>
      <c r="L275" s="25" t="str">
        <f>IF(I275=0,"",I275/F275*G275*LOOKUP(B275,L!A:A,L!C:C))</f>
        <v/>
      </c>
      <c r="M275" s="26">
        <f>IF(L275=MIN(L273:L275),1,0)</f>
        <v>0</v>
      </c>
    </row>
    <row r="276" ht="15.0" hidden="1" customHeight="1">
      <c r="A276" s="17" t="s">
        <v>59</v>
      </c>
      <c r="B276" s="18">
        <v>1.0</v>
      </c>
      <c r="C276" s="19" t="s">
        <v>202</v>
      </c>
      <c r="D276" s="21"/>
      <c r="E276" s="21"/>
      <c r="F276" s="22">
        <v>25.0</v>
      </c>
      <c r="G276" s="22">
        <v>1000.0</v>
      </c>
      <c r="H276" s="35"/>
      <c r="I276" s="34"/>
      <c r="J276" s="34"/>
      <c r="K276" s="25">
        <f t="shared" si="1"/>
        <v>0</v>
      </c>
      <c r="L276" s="25" t="str">
        <f>IF(I276=0,"",I276/F276*G276*LOOKUP(B276,L!A:A,L!C:C))</f>
        <v/>
      </c>
      <c r="M276" s="26">
        <f>IF(L276=MIN(L276:L278),1,0)</f>
        <v>0</v>
      </c>
    </row>
    <row r="277" ht="15.0" hidden="1" customHeight="1">
      <c r="A277" s="27" t="s">
        <v>59</v>
      </c>
      <c r="B277" s="28">
        <v>4.0</v>
      </c>
      <c r="C277" s="29" t="s">
        <v>202</v>
      </c>
      <c r="D277" s="21"/>
      <c r="E277" s="21"/>
      <c r="F277" s="32">
        <v>25.0</v>
      </c>
      <c r="G277" s="30">
        <v>1000.0</v>
      </c>
      <c r="H277" s="23"/>
      <c r="I277" s="31">
        <v>2885.0</v>
      </c>
      <c r="J277" s="31"/>
      <c r="K277" s="25">
        <f t="shared" si="1"/>
        <v>0</v>
      </c>
      <c r="L277" s="25">
        <f>IF(I277=0,"",I277/F277*G277*LOOKUP(B277,L!A:A,L!C:C))</f>
        <v>115400</v>
      </c>
      <c r="M277" s="26">
        <f>IF(L277=MIN(L276:L278),1,0)</f>
        <v>0</v>
      </c>
    </row>
    <row r="278" ht="15.0" hidden="1" customHeight="1">
      <c r="A278" s="17" t="s">
        <v>59</v>
      </c>
      <c r="B278" s="28">
        <v>3.0</v>
      </c>
      <c r="C278" s="29" t="s">
        <v>202</v>
      </c>
      <c r="D278" s="21"/>
      <c r="E278" s="21"/>
      <c r="F278" s="32">
        <v>25.0</v>
      </c>
      <c r="G278" s="30">
        <v>1000.0</v>
      </c>
      <c r="H278" s="23"/>
      <c r="I278" s="31">
        <v>2899.0</v>
      </c>
      <c r="J278" s="36"/>
      <c r="K278" s="25">
        <f t="shared" si="1"/>
        <v>0</v>
      </c>
      <c r="L278" s="25">
        <f>IF(I278=0,"",I278/F278*G278*LOOKUP(B278,L!A:A,L!C:C))</f>
        <v>86970</v>
      </c>
      <c r="M278" s="26">
        <f>IF(L278=MIN(L276:L278),1,0)</f>
        <v>1</v>
      </c>
    </row>
    <row r="279" ht="15.0" customHeight="1">
      <c r="A279" s="33" t="s">
        <v>46</v>
      </c>
      <c r="B279" s="18">
        <v>1.0</v>
      </c>
      <c r="C279" s="19" t="s">
        <v>203</v>
      </c>
      <c r="D279" s="20"/>
      <c r="E279" s="20"/>
      <c r="F279" s="38">
        <v>30.0</v>
      </c>
      <c r="G279" s="22">
        <v>12.0</v>
      </c>
      <c r="H279" s="23">
        <v>0.0</v>
      </c>
      <c r="I279" s="24">
        <v>5437.5</v>
      </c>
      <c r="J279" s="24"/>
      <c r="K279" s="25">
        <f t="shared" si="1"/>
        <v>0</v>
      </c>
      <c r="L279" s="25">
        <f>IF(I279=0,"",I279/F279*G279*LOOKUP(B279,L!A:A,L!C:C))</f>
        <v>1413.75</v>
      </c>
      <c r="M279" s="26">
        <f>IF(L279=MIN(L279:L281),1,0)</f>
        <v>1</v>
      </c>
    </row>
    <row r="280" ht="15.0" hidden="1" customHeight="1">
      <c r="A280" s="33" t="s">
        <v>46</v>
      </c>
      <c r="B280" s="28">
        <v>2.0</v>
      </c>
      <c r="C280" s="29" t="s">
        <v>203</v>
      </c>
      <c r="D280" s="20"/>
      <c r="E280" s="20" t="s">
        <v>204</v>
      </c>
      <c r="F280" s="32">
        <v>12.0</v>
      </c>
      <c r="G280" s="30">
        <v>12.0</v>
      </c>
      <c r="H280" s="23"/>
      <c r="I280" s="31">
        <v>8490.0</v>
      </c>
      <c r="J280" s="31"/>
      <c r="K280" s="25">
        <f t="shared" si="1"/>
        <v>0</v>
      </c>
      <c r="L280" s="25">
        <f>IF(I280=0,"",I280/F280*G280*LOOKUP(B280,L!A:A,L!C:C))</f>
        <v>6367.5</v>
      </c>
      <c r="M280" s="26">
        <f>IF(L280=MIN(L279:L281),1,0)</f>
        <v>0</v>
      </c>
    </row>
    <row r="281" ht="15.0" hidden="1" customHeight="1">
      <c r="A281" s="33" t="s">
        <v>46</v>
      </c>
      <c r="B281" s="28">
        <v>4.0</v>
      </c>
      <c r="C281" s="29" t="s">
        <v>203</v>
      </c>
      <c r="D281" s="21"/>
      <c r="E281" s="21"/>
      <c r="F281" s="30">
        <v>12.0</v>
      </c>
      <c r="G281" s="30">
        <v>12.0</v>
      </c>
      <c r="H281" s="23"/>
      <c r="I281" s="36"/>
      <c r="J281" s="36"/>
      <c r="K281" s="25">
        <f t="shared" si="1"/>
        <v>0</v>
      </c>
      <c r="L281" s="25" t="str">
        <f>IF(I281=0,"",I281/F281*G281*LOOKUP(B281,L!A:A,L!C:C))</f>
        <v/>
      </c>
      <c r="M281" s="26">
        <f>IF(L281=MIN(L279:L281),1,0)</f>
        <v>0</v>
      </c>
    </row>
    <row r="282" ht="15.0" hidden="1" customHeight="1">
      <c r="A282" s="17" t="s">
        <v>48</v>
      </c>
      <c r="B282" s="18">
        <v>1.0</v>
      </c>
      <c r="C282" s="19" t="s">
        <v>205</v>
      </c>
      <c r="D282" s="21"/>
      <c r="E282" s="21"/>
      <c r="F282" s="22">
        <v>350.0</v>
      </c>
      <c r="G282" s="22">
        <v>1000.0</v>
      </c>
      <c r="H282" s="23"/>
      <c r="I282" s="24">
        <v>3706.85</v>
      </c>
      <c r="J282" s="24"/>
      <c r="K282" s="25">
        <f t="shared" si="1"/>
        <v>0</v>
      </c>
      <c r="L282" s="25">
        <f>IF(I282=0,"",I282/F282*G282*LOOKUP(B282,L!A:A,L!C:C))</f>
        <v>6884.15</v>
      </c>
      <c r="M282" s="26">
        <f>IF(L282=MIN(L282:L284),1,0)</f>
        <v>1</v>
      </c>
    </row>
    <row r="283" ht="15.0" hidden="1" customHeight="1">
      <c r="A283" s="27" t="s">
        <v>48</v>
      </c>
      <c r="B283" s="28">
        <v>2.0</v>
      </c>
      <c r="C283" s="29" t="s">
        <v>205</v>
      </c>
      <c r="D283" s="21"/>
      <c r="E283" s="21"/>
      <c r="F283" s="30">
        <v>360.0</v>
      </c>
      <c r="G283" s="30">
        <v>1000.0</v>
      </c>
      <c r="H283" s="35"/>
      <c r="I283" s="36"/>
      <c r="J283" s="36"/>
      <c r="K283" s="25">
        <f t="shared" si="1"/>
        <v>0</v>
      </c>
      <c r="L283" s="25" t="str">
        <f>IF(I283=0,"",I283/F283*G283*LOOKUP(B283,L!A:A,L!C:C))</f>
        <v/>
      </c>
      <c r="M283" s="26">
        <f>IF(L283=MIN(L282:L284),1,0)</f>
        <v>0</v>
      </c>
    </row>
    <row r="284" ht="15.0" hidden="1" customHeight="1">
      <c r="A284" s="17" t="s">
        <v>48</v>
      </c>
      <c r="B284" s="28">
        <v>4.0</v>
      </c>
      <c r="C284" s="29" t="s">
        <v>205</v>
      </c>
      <c r="D284" s="20"/>
      <c r="E284" s="20" t="s">
        <v>206</v>
      </c>
      <c r="F284" s="30">
        <v>360.0</v>
      </c>
      <c r="G284" s="30">
        <v>1000.0</v>
      </c>
      <c r="H284" s="35"/>
      <c r="I284" s="31"/>
      <c r="J284" s="31"/>
      <c r="K284" s="25">
        <f t="shared" si="1"/>
        <v>0</v>
      </c>
      <c r="L284" s="25" t="str">
        <f>IF(I284=0,"",I284/F284*G284*LOOKUP(B284,L!A:A,L!C:C))</f>
        <v/>
      </c>
      <c r="M284" s="26">
        <f>IF(L284=MIN(L282:L284),1,0)</f>
        <v>0</v>
      </c>
    </row>
    <row r="285" ht="15.0" hidden="1" customHeight="1">
      <c r="A285" s="33" t="s">
        <v>48</v>
      </c>
      <c r="B285" s="18">
        <v>1.0</v>
      </c>
      <c r="C285" s="19" t="s">
        <v>207</v>
      </c>
      <c r="D285" s="21"/>
      <c r="E285" s="21"/>
      <c r="F285" s="22">
        <v>300.0</v>
      </c>
      <c r="G285" s="22">
        <v>1000.0</v>
      </c>
      <c r="H285" s="23"/>
      <c r="I285" s="24">
        <v>2330.0</v>
      </c>
      <c r="J285" s="24"/>
      <c r="K285" s="25">
        <f t="shared" si="1"/>
        <v>0</v>
      </c>
      <c r="L285" s="25">
        <f>IF(I285=0,"",I285/F285*G285*LOOKUP(B285,L!A:A,L!C:C))</f>
        <v>5048.333333</v>
      </c>
      <c r="M285" s="26">
        <f>IF(L285=MIN(L285:L287),1,0)</f>
        <v>1</v>
      </c>
    </row>
    <row r="286" ht="15.0" hidden="1" customHeight="1">
      <c r="A286" s="33" t="s">
        <v>48</v>
      </c>
      <c r="B286" s="28">
        <v>2.0</v>
      </c>
      <c r="C286" s="29" t="s">
        <v>207</v>
      </c>
      <c r="D286" s="21"/>
      <c r="E286" s="21"/>
      <c r="F286" s="30">
        <v>150.0</v>
      </c>
      <c r="G286" s="30">
        <v>1000.0</v>
      </c>
      <c r="H286" s="35"/>
      <c r="I286" s="36"/>
      <c r="J286" s="36"/>
      <c r="K286" s="25">
        <f t="shared" si="1"/>
        <v>0</v>
      </c>
      <c r="L286" s="25" t="str">
        <f>IF(I286=0,"",I286/F286*G286*LOOKUP(B286,L!A:A,L!C:C))</f>
        <v/>
      </c>
      <c r="M286" s="26">
        <f>IF(L286=MIN(L285:L287),1,0)</f>
        <v>0</v>
      </c>
    </row>
    <row r="287" ht="15.0" hidden="1" customHeight="1">
      <c r="A287" s="33" t="s">
        <v>48</v>
      </c>
      <c r="B287" s="28">
        <v>4.0</v>
      </c>
      <c r="C287" s="29" t="s">
        <v>207</v>
      </c>
      <c r="D287" s="21"/>
      <c r="E287" s="21"/>
      <c r="F287" s="32">
        <v>200.0</v>
      </c>
      <c r="G287" s="30">
        <v>1000.0</v>
      </c>
      <c r="H287" s="35"/>
      <c r="I287" s="31">
        <v>1269.0</v>
      </c>
      <c r="J287" s="36"/>
      <c r="K287" s="25">
        <f t="shared" si="1"/>
        <v>0</v>
      </c>
      <c r="L287" s="25">
        <f>IF(I287=0,"",I287/F287*G287*LOOKUP(B287,L!A:A,L!C:C))</f>
        <v>6345</v>
      </c>
      <c r="M287" s="26">
        <f>IF(L287=MIN(L285:L287),1,0)</f>
        <v>0</v>
      </c>
    </row>
    <row r="288" ht="15.0" hidden="1" customHeight="1">
      <c r="A288" s="17" t="s">
        <v>57</v>
      </c>
      <c r="B288" s="18">
        <v>1.0</v>
      </c>
      <c r="C288" s="19" t="s">
        <v>208</v>
      </c>
      <c r="D288" s="21"/>
      <c r="E288" s="21"/>
      <c r="F288" s="38">
        <v>250.0</v>
      </c>
      <c r="G288" s="22">
        <v>1000.0</v>
      </c>
      <c r="H288" s="35"/>
      <c r="I288" s="24">
        <v>2782.49</v>
      </c>
      <c r="J288" s="24"/>
      <c r="K288" s="25">
        <f t="shared" si="1"/>
        <v>0</v>
      </c>
      <c r="L288" s="25">
        <f>IF(I288=0,"",I288/F288*G288*LOOKUP(B288,L!A:A,L!C:C))</f>
        <v>7234.474</v>
      </c>
      <c r="M288" s="26">
        <f>IF(L288=MIN(L288:L290),1,0)</f>
        <v>0</v>
      </c>
    </row>
    <row r="289" ht="15.0" hidden="1" customHeight="1">
      <c r="A289" s="27" t="s">
        <v>57</v>
      </c>
      <c r="B289" s="28">
        <v>2.0</v>
      </c>
      <c r="C289" s="29" t="s">
        <v>208</v>
      </c>
      <c r="D289" s="20"/>
      <c r="E289" s="20"/>
      <c r="F289" s="32">
        <v>220.0</v>
      </c>
      <c r="G289" s="30">
        <v>1000.0</v>
      </c>
      <c r="H289" s="23"/>
      <c r="I289" s="31">
        <v>1105.0</v>
      </c>
      <c r="J289" s="31"/>
      <c r="K289" s="25">
        <f t="shared" si="1"/>
        <v>0</v>
      </c>
      <c r="L289" s="25">
        <f>IF(I289=0,"",I289/F289*G289*LOOKUP(B289,L!A:A,L!C:C))</f>
        <v>3767.045455</v>
      </c>
      <c r="M289" s="26">
        <f>IF(L289=MIN(L288:L290),1,0)</f>
        <v>1</v>
      </c>
    </row>
    <row r="290" ht="15.0" hidden="1" customHeight="1">
      <c r="A290" s="17" t="s">
        <v>57</v>
      </c>
      <c r="B290" s="28">
        <v>4.0</v>
      </c>
      <c r="C290" s="29" t="s">
        <v>208</v>
      </c>
      <c r="D290" s="21"/>
      <c r="E290" s="21"/>
      <c r="F290" s="30">
        <v>220.0</v>
      </c>
      <c r="G290" s="30">
        <v>1000.0</v>
      </c>
      <c r="H290" s="23"/>
      <c r="I290" s="31">
        <v>1739.0</v>
      </c>
      <c r="J290" s="31"/>
      <c r="K290" s="25">
        <f t="shared" si="1"/>
        <v>0</v>
      </c>
      <c r="L290" s="25">
        <f>IF(I290=0,"",I290/F290*G290*LOOKUP(B290,L!A:A,L!C:C))</f>
        <v>7904.545455</v>
      </c>
      <c r="M290" s="26">
        <f>IF(L290=MIN(L288:L290),1,0)</f>
        <v>0</v>
      </c>
    </row>
    <row r="291" ht="15.0" customHeight="1">
      <c r="A291" s="27" t="s">
        <v>163</v>
      </c>
      <c r="B291" s="18">
        <v>1.0</v>
      </c>
      <c r="C291" s="29" t="s">
        <v>209</v>
      </c>
      <c r="D291" s="21"/>
      <c r="E291" s="20" t="s">
        <v>210</v>
      </c>
      <c r="F291" s="22">
        <v>1000.0</v>
      </c>
      <c r="G291" s="22">
        <v>1000.0</v>
      </c>
      <c r="H291" s="23">
        <v>0.0</v>
      </c>
      <c r="I291" s="24">
        <v>17659.0</v>
      </c>
      <c r="J291" s="24"/>
      <c r="K291" s="25">
        <f t="shared" si="1"/>
        <v>0</v>
      </c>
      <c r="L291" s="25">
        <f>IF(I291=0,"",I291/F291*G291*LOOKUP(B291,L!A:A,L!C:C))</f>
        <v>11478.35</v>
      </c>
      <c r="M291" s="26">
        <f>IF(L291=MIN(L291:L293),1,0)</f>
        <v>1</v>
      </c>
    </row>
    <row r="292" ht="15.0" hidden="1" customHeight="1">
      <c r="A292" s="27" t="s">
        <v>163</v>
      </c>
      <c r="B292" s="28">
        <v>2.0</v>
      </c>
      <c r="C292" s="29" t="s">
        <v>209</v>
      </c>
      <c r="D292" s="21"/>
      <c r="E292" s="21" t="s">
        <v>86</v>
      </c>
      <c r="F292" s="30">
        <v>1000.0</v>
      </c>
      <c r="G292" s="30">
        <v>1000.0</v>
      </c>
      <c r="H292" s="23"/>
      <c r="I292" s="36"/>
      <c r="J292" s="36"/>
      <c r="K292" s="25">
        <f t="shared" si="1"/>
        <v>0</v>
      </c>
      <c r="L292" s="25" t="str">
        <f>IF(I292=0,"",I292/F292*G292*LOOKUP(B292,L!A:A,L!C:C))</f>
        <v/>
      </c>
      <c r="M292" s="26">
        <f>IF(L292=MIN(L291:L293),1,0)</f>
        <v>0</v>
      </c>
    </row>
    <row r="293" ht="15.0" hidden="1" customHeight="1">
      <c r="A293" s="17" t="s">
        <v>163</v>
      </c>
      <c r="B293" s="28">
        <v>4.0</v>
      </c>
      <c r="C293" s="29" t="s">
        <v>209</v>
      </c>
      <c r="D293" s="21"/>
      <c r="E293" s="21"/>
      <c r="F293" s="30">
        <v>1000.0</v>
      </c>
      <c r="G293" s="30">
        <v>1000.0</v>
      </c>
      <c r="H293" s="23"/>
      <c r="I293" s="31"/>
      <c r="J293" s="31"/>
      <c r="K293" s="25">
        <f t="shared" si="1"/>
        <v>0</v>
      </c>
      <c r="L293" s="25" t="str">
        <f>IF(I293=0,"",I293/F293*G293*LOOKUP(B293,L!A:A,L!C:C))</f>
        <v/>
      </c>
      <c r="M293" s="26">
        <f>IF(L293=MIN(L291:L293),1,0)</f>
        <v>0</v>
      </c>
    </row>
    <row r="294" ht="15.0" hidden="1" customHeight="1">
      <c r="A294" s="17" t="s">
        <v>68</v>
      </c>
      <c r="B294" s="18">
        <v>1.0</v>
      </c>
      <c r="C294" s="19" t="s">
        <v>211</v>
      </c>
      <c r="D294" s="21"/>
      <c r="E294" s="21"/>
      <c r="F294" s="22"/>
      <c r="G294" s="22">
        <v>1.0</v>
      </c>
      <c r="H294" s="35"/>
      <c r="I294" s="34"/>
      <c r="J294" s="34"/>
      <c r="K294" s="25">
        <f t="shared" si="1"/>
        <v>0</v>
      </c>
      <c r="L294" s="25" t="str">
        <f>IF(I294=0,"",I294/F294*G294*LOOKUP(B294,L!A:A,L!C:C))</f>
        <v/>
      </c>
      <c r="M294" s="26">
        <f>IF(L294=MIN(L294:L296),1,0)</f>
        <v>0</v>
      </c>
    </row>
    <row r="295" ht="15.0" hidden="1" customHeight="1">
      <c r="A295" s="27" t="s">
        <v>68</v>
      </c>
      <c r="B295" s="28">
        <v>2.0</v>
      </c>
      <c r="C295" s="29" t="s">
        <v>211</v>
      </c>
      <c r="D295" s="21"/>
      <c r="E295" s="21"/>
      <c r="F295" s="30">
        <v>1.0</v>
      </c>
      <c r="G295" s="30">
        <v>1.0</v>
      </c>
      <c r="H295" s="35"/>
      <c r="I295" s="36"/>
      <c r="J295" s="36"/>
      <c r="K295" s="25">
        <f t="shared" si="1"/>
        <v>0</v>
      </c>
      <c r="L295" s="25" t="str">
        <f>IF(I295=0,"",I295/F295*G295*LOOKUP(B295,L!A:A,L!C:C))</f>
        <v/>
      </c>
      <c r="M295" s="26">
        <f>IF(L295=MIN(L294:L296),1,0)</f>
        <v>0</v>
      </c>
    </row>
    <row r="296" ht="15.0" hidden="1" customHeight="1">
      <c r="A296" s="17" t="s">
        <v>68</v>
      </c>
      <c r="B296" s="28">
        <v>4.0</v>
      </c>
      <c r="C296" s="29" t="s">
        <v>211</v>
      </c>
      <c r="D296" s="21"/>
      <c r="E296" s="21"/>
      <c r="F296" s="30"/>
      <c r="G296" s="30">
        <v>1.0</v>
      </c>
      <c r="H296" s="35"/>
      <c r="I296" s="36"/>
      <c r="J296" s="36"/>
      <c r="K296" s="25">
        <f t="shared" si="1"/>
        <v>0</v>
      </c>
      <c r="L296" s="25" t="str">
        <f>IF(I296=0,"",I296/F296*G296*LOOKUP(B296,L!A:A,L!C:C))</f>
        <v/>
      </c>
      <c r="M296" s="26">
        <f>IF(L296=MIN(L294:L296),1,0)</f>
        <v>0</v>
      </c>
    </row>
    <row r="297" ht="15.0" customHeight="1">
      <c r="A297" s="17" t="s">
        <v>57</v>
      </c>
      <c r="B297" s="18">
        <v>1.0</v>
      </c>
      <c r="C297" s="19" t="s">
        <v>212</v>
      </c>
      <c r="D297" s="21"/>
      <c r="E297" s="21"/>
      <c r="F297" s="38">
        <v>270.0</v>
      </c>
      <c r="G297" s="22">
        <v>1000.0</v>
      </c>
      <c r="H297" s="23">
        <v>0.0</v>
      </c>
      <c r="I297" s="24">
        <v>5901.75</v>
      </c>
      <c r="J297" s="24"/>
      <c r="K297" s="25">
        <f t="shared" si="1"/>
        <v>0</v>
      </c>
      <c r="L297" s="25">
        <f>IF(I297=0,"",I297/F297*G297*LOOKUP(B297,L!A:A,L!C:C))</f>
        <v>14207.91667</v>
      </c>
      <c r="M297" s="26">
        <f>IF(L297=MIN(L297:L299),1,0)</f>
        <v>0</v>
      </c>
    </row>
    <row r="298" ht="15.0" hidden="1" customHeight="1">
      <c r="A298" s="27" t="s">
        <v>57</v>
      </c>
      <c r="B298" s="28">
        <v>4.0</v>
      </c>
      <c r="C298" s="29" t="s">
        <v>212</v>
      </c>
      <c r="D298" s="21"/>
      <c r="E298" s="21"/>
      <c r="F298" s="32">
        <v>90.0</v>
      </c>
      <c r="G298" s="30">
        <v>1000.0</v>
      </c>
      <c r="H298" s="23"/>
      <c r="I298" s="31">
        <v>1599.0</v>
      </c>
      <c r="J298" s="31"/>
      <c r="K298" s="25">
        <f t="shared" si="1"/>
        <v>0</v>
      </c>
      <c r="L298" s="25">
        <f>IF(I298=0,"",I298/F298*G298*LOOKUP(B298,L!A:A,L!C:C))</f>
        <v>17766.66667</v>
      </c>
      <c r="M298" s="26">
        <f>IF(L298=MIN(L297:L299),1,0)</f>
        <v>0</v>
      </c>
    </row>
    <row r="299" ht="15.0" hidden="1" customHeight="1">
      <c r="A299" s="17" t="s">
        <v>57</v>
      </c>
      <c r="B299" s="28">
        <v>3.0</v>
      </c>
      <c r="C299" s="29" t="s">
        <v>212</v>
      </c>
      <c r="D299" s="21"/>
      <c r="E299" s="21"/>
      <c r="F299" s="32">
        <v>270.0</v>
      </c>
      <c r="G299" s="30">
        <v>1000.0</v>
      </c>
      <c r="H299" s="23">
        <v>6.0</v>
      </c>
      <c r="I299" s="31">
        <v>2251.65</v>
      </c>
      <c r="J299" s="31"/>
      <c r="K299" s="25">
        <f t="shared" si="1"/>
        <v>13509.9</v>
      </c>
      <c r="L299" s="25">
        <f>IF(I299=0,"",I299/F299*G299*LOOKUP(B299,L!A:A,L!C:C))</f>
        <v>6254.583333</v>
      </c>
      <c r="M299" s="26">
        <f>IF(L299=MIN(L297:L299),1,0)</f>
        <v>1</v>
      </c>
    </row>
    <row r="300" ht="15.0" hidden="1" customHeight="1">
      <c r="A300" s="17" t="s">
        <v>55</v>
      </c>
      <c r="B300" s="18">
        <v>1.0</v>
      </c>
      <c r="C300" s="19" t="s">
        <v>213</v>
      </c>
      <c r="D300" s="21"/>
      <c r="E300" s="21"/>
      <c r="F300" s="22">
        <v>1000.0</v>
      </c>
      <c r="G300" s="22">
        <v>1000.0</v>
      </c>
      <c r="H300" s="23"/>
      <c r="I300" s="24">
        <v>11603.0</v>
      </c>
      <c r="J300" s="24"/>
      <c r="K300" s="25">
        <f t="shared" si="1"/>
        <v>0</v>
      </c>
      <c r="L300" s="25">
        <f>IF(I300=0,"",I300/F300*G300*LOOKUP(B300,L!A:A,L!C:C))</f>
        <v>7541.95</v>
      </c>
      <c r="M300" s="26">
        <f>IF(L300=MIN(L300:L302),1,0)</f>
        <v>1</v>
      </c>
    </row>
    <row r="301" ht="15.0" hidden="1" customHeight="1">
      <c r="A301" s="27" t="s">
        <v>55</v>
      </c>
      <c r="B301" s="28">
        <v>2.0</v>
      </c>
      <c r="C301" s="29" t="s">
        <v>213</v>
      </c>
      <c r="D301" s="21"/>
      <c r="E301" s="21"/>
      <c r="F301" s="30"/>
      <c r="G301" s="30">
        <v>1000.0</v>
      </c>
      <c r="H301" s="23"/>
      <c r="I301" s="36"/>
      <c r="J301" s="36"/>
      <c r="K301" s="25">
        <f t="shared" si="1"/>
        <v>0</v>
      </c>
      <c r="L301" s="25" t="str">
        <f>IF(I301=0,"",I301/F301*G301*LOOKUP(B301,L!A:A,L!C:C))</f>
        <v/>
      </c>
      <c r="M301" s="26">
        <f>IF(L301=MIN(L300:L302),1,0)</f>
        <v>0</v>
      </c>
    </row>
    <row r="302" ht="15.0" hidden="1" customHeight="1">
      <c r="A302" s="17" t="s">
        <v>55</v>
      </c>
      <c r="B302" s="28">
        <v>4.0</v>
      </c>
      <c r="C302" s="29" t="s">
        <v>213</v>
      </c>
      <c r="D302" s="21"/>
      <c r="E302" s="21"/>
      <c r="F302" s="30"/>
      <c r="G302" s="30">
        <v>1000.0</v>
      </c>
      <c r="H302" s="35"/>
      <c r="I302" s="36"/>
      <c r="J302" s="36"/>
      <c r="K302" s="25">
        <f t="shared" si="1"/>
        <v>0</v>
      </c>
      <c r="L302" s="25" t="str">
        <f>IF(I302=0,"",I302/F302*G302*LOOKUP(B302,L!A:A,L!C:C))</f>
        <v/>
      </c>
      <c r="M302" s="26">
        <f>IF(L302=MIN(L300:L302),1,0)</f>
        <v>0</v>
      </c>
    </row>
    <row r="303" ht="15.0" hidden="1" customHeight="1">
      <c r="A303" s="17" t="s">
        <v>51</v>
      </c>
      <c r="B303" s="18">
        <v>1.0</v>
      </c>
      <c r="C303" s="37" t="s">
        <v>214</v>
      </c>
      <c r="D303" s="20"/>
      <c r="E303" s="20"/>
      <c r="F303" s="22">
        <v>1000.0</v>
      </c>
      <c r="G303" s="22">
        <v>1000.0</v>
      </c>
      <c r="H303" s="23"/>
      <c r="I303" s="24"/>
      <c r="J303" s="24"/>
      <c r="K303" s="25">
        <f t="shared" si="1"/>
        <v>0</v>
      </c>
      <c r="L303" s="25" t="str">
        <f>IF(I303=0,"",I303/F303*G303*LOOKUP(B303,L!A:A,L!C:C))</f>
        <v/>
      </c>
      <c r="M303" s="26">
        <f>IF(L303=MIN(L303:L305),1,0)</f>
        <v>0</v>
      </c>
    </row>
    <row r="304" ht="15.0" hidden="1" customHeight="1">
      <c r="A304" s="27" t="s">
        <v>51</v>
      </c>
      <c r="B304" s="28">
        <v>2.0</v>
      </c>
      <c r="C304" s="37" t="s">
        <v>214</v>
      </c>
      <c r="D304" s="21"/>
      <c r="E304" s="21"/>
      <c r="F304" s="30">
        <v>1000.0</v>
      </c>
      <c r="G304" s="30">
        <v>1000.0</v>
      </c>
      <c r="H304" s="23"/>
      <c r="I304" s="36"/>
      <c r="J304" s="36"/>
      <c r="K304" s="25">
        <f t="shared" si="1"/>
        <v>0</v>
      </c>
      <c r="L304" s="25" t="str">
        <f>IF(I304=0,"",I304/F304*G304*LOOKUP(B304,L!A:A,L!C:C))</f>
        <v/>
      </c>
      <c r="M304" s="26">
        <f>IF(L304=MIN(L303:L305),1,0)</f>
        <v>0</v>
      </c>
    </row>
    <row r="305" ht="15.0" hidden="1" customHeight="1">
      <c r="A305" s="17" t="s">
        <v>51</v>
      </c>
      <c r="B305" s="28">
        <v>4.0</v>
      </c>
      <c r="C305" s="37" t="s">
        <v>214</v>
      </c>
      <c r="D305" s="21"/>
      <c r="E305" s="20" t="s">
        <v>215</v>
      </c>
      <c r="F305" s="32">
        <v>710.0</v>
      </c>
      <c r="G305" s="30">
        <v>1000.0</v>
      </c>
      <c r="H305" s="23"/>
      <c r="I305" s="36"/>
      <c r="J305" s="36"/>
      <c r="K305" s="25">
        <f t="shared" si="1"/>
        <v>0</v>
      </c>
      <c r="L305" s="25" t="str">
        <f>IF(I305=0,"",I305/F305*G305*LOOKUP(B305,L!A:A,L!C:C))</f>
        <v/>
      </c>
      <c r="M305" s="26">
        <f>IF(L305=MIN(L303:L305),1,0)</f>
        <v>0</v>
      </c>
    </row>
    <row r="306" ht="15.0" hidden="1" customHeight="1">
      <c r="A306" s="17" t="s">
        <v>41</v>
      </c>
      <c r="B306" s="18">
        <v>1.0</v>
      </c>
      <c r="C306" s="19" t="s">
        <v>216</v>
      </c>
      <c r="D306" s="21"/>
      <c r="E306" s="21"/>
      <c r="F306" s="22">
        <v>500.0</v>
      </c>
      <c r="G306" s="22">
        <v>1000.0</v>
      </c>
      <c r="H306" s="35"/>
      <c r="I306" s="34">
        <v>3289.85</v>
      </c>
      <c r="J306" s="34"/>
      <c r="K306" s="25">
        <f t="shared" si="1"/>
        <v>0</v>
      </c>
      <c r="L306" s="25">
        <f>IF(I306=0,"",I306/F306*G306*LOOKUP(B306,L!A:A,L!C:C))</f>
        <v>4276.805</v>
      </c>
      <c r="M306" s="26">
        <f>IF(L306=MIN(L306:L308),1,0)</f>
        <v>1</v>
      </c>
    </row>
    <row r="307" ht="15.0" hidden="1" customHeight="1">
      <c r="A307" s="27" t="s">
        <v>41</v>
      </c>
      <c r="B307" s="28">
        <v>2.0</v>
      </c>
      <c r="C307" s="29" t="s">
        <v>216</v>
      </c>
      <c r="D307" s="20"/>
      <c r="E307" s="20" t="s">
        <v>217</v>
      </c>
      <c r="F307" s="30">
        <v>250.0</v>
      </c>
      <c r="G307" s="30">
        <v>1000.0</v>
      </c>
      <c r="H307" s="35"/>
      <c r="I307" s="36">
        <v>2131.0</v>
      </c>
      <c r="J307" s="36"/>
      <c r="K307" s="25">
        <f t="shared" si="1"/>
        <v>0</v>
      </c>
      <c r="L307" s="25">
        <f>IF(I307=0,"",I307/F307*G307*LOOKUP(B307,L!A:A,L!C:C))</f>
        <v>6393</v>
      </c>
      <c r="M307" s="26">
        <f>IF(L307=MIN(L306:L308),1,0)</f>
        <v>0</v>
      </c>
    </row>
    <row r="308" ht="15.0" hidden="1" customHeight="1">
      <c r="A308" s="17" t="s">
        <v>41</v>
      </c>
      <c r="B308" s="28">
        <v>6.0</v>
      </c>
      <c r="C308" s="29" t="s">
        <v>216</v>
      </c>
      <c r="D308" s="21"/>
      <c r="E308" s="21" t="s">
        <v>217</v>
      </c>
      <c r="F308" s="32">
        <v>250.0</v>
      </c>
      <c r="G308" s="30">
        <v>1000.0</v>
      </c>
      <c r="H308" s="23"/>
      <c r="I308" s="31"/>
      <c r="J308" s="31"/>
      <c r="K308" s="25">
        <f t="shared" si="1"/>
        <v>0</v>
      </c>
      <c r="L308" s="25" t="str">
        <f>IF(I308=0,"",I308/F308*G308*LOOKUP(B308,L!A:A,L!C:C))</f>
        <v/>
      </c>
      <c r="M308" s="26">
        <f>IF(L308=MIN(L306:L308),1,0)</f>
        <v>0</v>
      </c>
    </row>
    <row r="309" ht="15.0" hidden="1" customHeight="1">
      <c r="A309" s="17" t="s">
        <v>68</v>
      </c>
      <c r="B309" s="18">
        <v>1.0</v>
      </c>
      <c r="C309" s="19" t="s">
        <v>218</v>
      </c>
      <c r="D309" s="21"/>
      <c r="E309" s="21"/>
      <c r="F309" s="22">
        <v>1.0</v>
      </c>
      <c r="G309" s="22">
        <v>1.0</v>
      </c>
      <c r="H309" s="23"/>
      <c r="I309" s="24"/>
      <c r="J309" s="24"/>
      <c r="K309" s="25">
        <f t="shared" si="1"/>
        <v>0</v>
      </c>
      <c r="L309" s="25" t="str">
        <f>IF(I309=0,"",I309/F309*G309*LOOKUP(B309,L!A:A,L!C:C))</f>
        <v/>
      </c>
      <c r="M309" s="26">
        <f>IF(L309=MIN(L309:L311),1,0)</f>
        <v>0</v>
      </c>
    </row>
    <row r="310" ht="15.0" hidden="1" customHeight="1">
      <c r="A310" s="27" t="s">
        <v>68</v>
      </c>
      <c r="B310" s="28">
        <v>2.0</v>
      </c>
      <c r="C310" s="29" t="s">
        <v>218</v>
      </c>
      <c r="D310" s="21"/>
      <c r="E310" s="21"/>
      <c r="F310" s="30">
        <v>1.0</v>
      </c>
      <c r="G310" s="30">
        <v>1.0</v>
      </c>
      <c r="H310" s="35"/>
      <c r="I310" s="36"/>
      <c r="J310" s="36"/>
      <c r="K310" s="25">
        <f t="shared" si="1"/>
        <v>0</v>
      </c>
      <c r="L310" s="25" t="str">
        <f>IF(I310=0,"",I310/F310*G310*LOOKUP(B310,L!A:A,L!C:C))</f>
        <v/>
      </c>
      <c r="M310" s="26">
        <f>IF(L310=MIN(L309:L311),1,0)</f>
        <v>0</v>
      </c>
    </row>
    <row r="311" ht="15.0" hidden="1" customHeight="1">
      <c r="A311" s="17" t="s">
        <v>68</v>
      </c>
      <c r="B311" s="28">
        <v>4.0</v>
      </c>
      <c r="C311" s="29" t="s">
        <v>218</v>
      </c>
      <c r="D311" s="21"/>
      <c r="E311" s="21"/>
      <c r="F311" s="30">
        <v>1.0</v>
      </c>
      <c r="G311" s="30">
        <v>1.0</v>
      </c>
      <c r="H311" s="35"/>
      <c r="I311" s="36"/>
      <c r="J311" s="36"/>
      <c r="K311" s="25">
        <f t="shared" si="1"/>
        <v>0</v>
      </c>
      <c r="L311" s="25" t="str">
        <f>IF(I311=0,"",I311/F311*G311*LOOKUP(B311,L!A:A,L!C:C))</f>
        <v/>
      </c>
      <c r="M311" s="26">
        <f>IF(L311=MIN(L309:L311),1,0)</f>
        <v>0</v>
      </c>
    </row>
    <row r="312" ht="15.0" hidden="1" customHeight="1">
      <c r="A312" s="17" t="s">
        <v>48</v>
      </c>
      <c r="B312" s="18">
        <v>3.0</v>
      </c>
      <c r="C312" s="19" t="s">
        <v>219</v>
      </c>
      <c r="D312" s="21"/>
      <c r="E312" s="21"/>
      <c r="F312" s="22">
        <v>900.0</v>
      </c>
      <c r="G312" s="22">
        <v>1000.0</v>
      </c>
      <c r="H312" s="23"/>
      <c r="I312" s="24">
        <v>3699.0</v>
      </c>
      <c r="J312" s="34"/>
      <c r="K312" s="25">
        <f t="shared" si="1"/>
        <v>0</v>
      </c>
      <c r="L312" s="25">
        <f>IF(I312=0,"",I312/F312*G312*LOOKUP(B312,L!A:A,L!C:C))</f>
        <v>3082.5</v>
      </c>
      <c r="M312" s="26">
        <f>IF(L312=MIN(L312:L314),1,0)</f>
        <v>0</v>
      </c>
    </row>
    <row r="313" ht="15.0" hidden="1" customHeight="1">
      <c r="A313" s="27" t="s">
        <v>48</v>
      </c>
      <c r="B313" s="28">
        <v>2.0</v>
      </c>
      <c r="C313" s="29" t="s">
        <v>219</v>
      </c>
      <c r="D313" s="20"/>
      <c r="E313" s="20" t="s">
        <v>220</v>
      </c>
      <c r="F313" s="32">
        <v>5000.0</v>
      </c>
      <c r="G313" s="30">
        <v>1000.0</v>
      </c>
      <c r="H313" s="23"/>
      <c r="I313" s="31">
        <v>8300.0</v>
      </c>
      <c r="J313" s="31"/>
      <c r="K313" s="25">
        <f t="shared" si="1"/>
        <v>0</v>
      </c>
      <c r="L313" s="25">
        <f>IF(I313=0,"",I313/F313*G313*LOOKUP(B313,L!A:A,L!C:C))</f>
        <v>1245</v>
      </c>
      <c r="M313" s="26">
        <f>IF(L313=MIN(L312:L314),1,0)</f>
        <v>1</v>
      </c>
    </row>
    <row r="314" ht="15.0" hidden="1" customHeight="1">
      <c r="A314" s="17" t="s">
        <v>48</v>
      </c>
      <c r="B314" s="28">
        <v>4.0</v>
      </c>
      <c r="C314" s="29" t="s">
        <v>219</v>
      </c>
      <c r="D314" s="21"/>
      <c r="E314" s="21"/>
      <c r="F314" s="32">
        <v>900.0</v>
      </c>
      <c r="G314" s="30">
        <v>1000.0</v>
      </c>
      <c r="H314" s="23"/>
      <c r="I314" s="31">
        <v>5500.0</v>
      </c>
      <c r="J314" s="31"/>
      <c r="K314" s="25">
        <f t="shared" si="1"/>
        <v>0</v>
      </c>
      <c r="L314" s="25">
        <f>IF(I314=0,"",I314/F314*G314*LOOKUP(B314,L!A:A,L!C:C))</f>
        <v>6111.111111</v>
      </c>
      <c r="M314" s="26">
        <f>IF(L314=MIN(L312:L314),1,0)</f>
        <v>0</v>
      </c>
    </row>
    <row r="315" ht="15.0" hidden="1" customHeight="1">
      <c r="A315" s="17" t="s">
        <v>48</v>
      </c>
      <c r="B315" s="18">
        <v>1.0</v>
      </c>
      <c r="C315" s="19" t="s">
        <v>221</v>
      </c>
      <c r="D315" s="21"/>
      <c r="E315" s="21"/>
      <c r="F315" s="22">
        <v>70.0</v>
      </c>
      <c r="G315" s="22">
        <v>1000.0</v>
      </c>
      <c r="H315" s="23"/>
      <c r="I315" s="24">
        <v>1489.0</v>
      </c>
      <c r="J315" s="24"/>
      <c r="K315" s="25">
        <f t="shared" si="1"/>
        <v>0</v>
      </c>
      <c r="L315" s="25">
        <f>IF(I315=0,"",I315/F315*G315*LOOKUP(B315,L!A:A,L!C:C))</f>
        <v>13826.42857</v>
      </c>
      <c r="M315" s="26">
        <f>IF(L315=MIN(L315:L317),1,0)</f>
        <v>1</v>
      </c>
    </row>
    <row r="316" ht="15.0" hidden="1" customHeight="1">
      <c r="A316" s="27" t="s">
        <v>48</v>
      </c>
      <c r="B316" s="28">
        <v>2.0</v>
      </c>
      <c r="C316" s="29" t="s">
        <v>221</v>
      </c>
      <c r="D316" s="21"/>
      <c r="E316" s="21"/>
      <c r="F316" s="30"/>
      <c r="G316" s="30">
        <v>1000.0</v>
      </c>
      <c r="H316" s="35"/>
      <c r="I316" s="36"/>
      <c r="J316" s="36"/>
      <c r="K316" s="25">
        <f t="shared" si="1"/>
        <v>0</v>
      </c>
      <c r="L316" s="25" t="str">
        <f>IF(I316=0,"",I316/F316*G316*LOOKUP(B316,L!A:A,L!C:C))</f>
        <v/>
      </c>
      <c r="M316" s="26">
        <f>IF(L316=MIN(L315:L317),1,0)</f>
        <v>0</v>
      </c>
    </row>
    <row r="317" ht="15.0" hidden="1" customHeight="1">
      <c r="A317" s="17" t="s">
        <v>48</v>
      </c>
      <c r="B317" s="28">
        <v>4.0</v>
      </c>
      <c r="C317" s="29" t="s">
        <v>221</v>
      </c>
      <c r="D317" s="21"/>
      <c r="E317" s="21"/>
      <c r="F317" s="30"/>
      <c r="G317" s="30">
        <v>1000.0</v>
      </c>
      <c r="H317" s="35"/>
      <c r="I317" s="36"/>
      <c r="J317" s="36"/>
      <c r="K317" s="25">
        <f t="shared" si="1"/>
        <v>0</v>
      </c>
      <c r="L317" s="25" t="str">
        <f>IF(I317=0,"",I317/F317*G317*LOOKUP(B317,L!A:A,L!C:C))</f>
        <v/>
      </c>
      <c r="M317" s="26">
        <f>IF(L317=MIN(L315:L317),1,0)</f>
        <v>0</v>
      </c>
    </row>
    <row r="318" ht="15.0" hidden="1" customHeight="1">
      <c r="A318" s="33" t="s">
        <v>78</v>
      </c>
      <c r="B318" s="18">
        <v>1.0</v>
      </c>
      <c r="C318" s="19" t="s">
        <v>222</v>
      </c>
      <c r="D318" s="21"/>
      <c r="E318" s="21"/>
      <c r="F318" s="22">
        <v>836.0</v>
      </c>
      <c r="G318" s="22">
        <v>1000.0</v>
      </c>
      <c r="H318" s="35"/>
      <c r="I318" s="34"/>
      <c r="J318" s="34"/>
      <c r="K318" s="25">
        <f t="shared" si="1"/>
        <v>0</v>
      </c>
      <c r="L318" s="25" t="str">
        <f>IF(I318=0,"",I318/F318*G318*LOOKUP(B318,L!A:A,L!C:C))</f>
        <v/>
      </c>
      <c r="M318" s="26">
        <f>IF(L318=MIN(L318:L320),1,0)</f>
        <v>0</v>
      </c>
    </row>
    <row r="319" ht="15.0" hidden="1" customHeight="1">
      <c r="A319" s="33" t="s">
        <v>78</v>
      </c>
      <c r="B319" s="28">
        <v>2.0</v>
      </c>
      <c r="C319" s="29" t="s">
        <v>222</v>
      </c>
      <c r="D319" s="21"/>
      <c r="E319" s="21"/>
      <c r="F319" s="30">
        <v>565.0</v>
      </c>
      <c r="G319" s="30">
        <v>1000.0</v>
      </c>
      <c r="H319" s="35"/>
      <c r="I319" s="36"/>
      <c r="J319" s="36"/>
      <c r="K319" s="25">
        <f t="shared" si="1"/>
        <v>0</v>
      </c>
      <c r="L319" s="25" t="str">
        <f>IF(I319=0,"",I319/F319*G319*LOOKUP(B319,L!A:A,L!C:C))</f>
        <v/>
      </c>
      <c r="M319" s="26">
        <f>IF(L319=MIN(L318:L320),1,0)</f>
        <v>0</v>
      </c>
    </row>
    <row r="320" ht="15.0" hidden="1" customHeight="1">
      <c r="A320" s="33" t="s">
        <v>78</v>
      </c>
      <c r="B320" s="28">
        <v>3.0</v>
      </c>
      <c r="C320" s="29" t="s">
        <v>222</v>
      </c>
      <c r="D320" s="21"/>
      <c r="E320" s="21"/>
      <c r="F320" s="32">
        <v>340.0</v>
      </c>
      <c r="G320" s="30">
        <v>1000.0</v>
      </c>
      <c r="H320" s="23"/>
      <c r="I320" s="31">
        <v>5099.0</v>
      </c>
      <c r="J320" s="36"/>
      <c r="K320" s="25">
        <f t="shared" si="1"/>
        <v>0</v>
      </c>
      <c r="L320" s="25">
        <f>IF(I320=0,"",I320/F320*G320*LOOKUP(B320,L!A:A,L!C:C))</f>
        <v>11247.79412</v>
      </c>
      <c r="M320" s="26">
        <f>IF(L320=MIN(L318:L320),1,0)</f>
        <v>1</v>
      </c>
    </row>
    <row r="321" ht="15.0" hidden="1" customHeight="1">
      <c r="A321" s="33" t="s">
        <v>78</v>
      </c>
      <c r="B321" s="18">
        <v>1.0</v>
      </c>
      <c r="C321" s="19" t="s">
        <v>223</v>
      </c>
      <c r="D321" s="21"/>
      <c r="E321" s="21"/>
      <c r="F321" s="22">
        <v>300.0</v>
      </c>
      <c r="G321" s="22">
        <v>1000.0</v>
      </c>
      <c r="H321" s="35"/>
      <c r="I321" s="34"/>
      <c r="J321" s="34"/>
      <c r="K321" s="25">
        <f t="shared" si="1"/>
        <v>0</v>
      </c>
      <c r="L321" s="25" t="str">
        <f>IF(I321=0,"",I321/F321*G321*LOOKUP(B321,L!A:A,L!C:C))</f>
        <v/>
      </c>
      <c r="M321" s="26">
        <f>IF(L321=MIN(L321:L323),1,0)</f>
        <v>0</v>
      </c>
    </row>
    <row r="322" ht="15.0" hidden="1" customHeight="1">
      <c r="A322" s="33" t="s">
        <v>78</v>
      </c>
      <c r="B322" s="28">
        <v>2.0</v>
      </c>
      <c r="C322" s="29" t="s">
        <v>223</v>
      </c>
      <c r="D322" s="21"/>
      <c r="E322" s="21"/>
      <c r="F322" s="30">
        <v>300.0</v>
      </c>
      <c r="G322" s="30">
        <v>1000.0</v>
      </c>
      <c r="H322" s="35"/>
      <c r="I322" s="36"/>
      <c r="J322" s="36"/>
      <c r="K322" s="25">
        <f t="shared" si="1"/>
        <v>0</v>
      </c>
      <c r="L322" s="25" t="str">
        <f>IF(I322=0,"",I322/F322*G322*LOOKUP(B322,L!A:A,L!C:C))</f>
        <v/>
      </c>
      <c r="M322" s="26">
        <f>IF(L322=MIN(L321:L323),1,0)</f>
        <v>0</v>
      </c>
    </row>
    <row r="323" ht="15.0" hidden="1" customHeight="1">
      <c r="A323" s="33" t="s">
        <v>78</v>
      </c>
      <c r="B323" s="28">
        <v>4.0</v>
      </c>
      <c r="C323" s="29" t="s">
        <v>223</v>
      </c>
      <c r="D323" s="21"/>
      <c r="E323" s="21"/>
      <c r="F323" s="30"/>
      <c r="G323" s="30">
        <v>1000.0</v>
      </c>
      <c r="H323" s="35"/>
      <c r="I323" s="36"/>
      <c r="J323" s="36"/>
      <c r="K323" s="25">
        <f t="shared" si="1"/>
        <v>0</v>
      </c>
      <c r="L323" s="25" t="str">
        <f>IF(I323=0,"",I323/F323*G323*LOOKUP(B323,L!A:A,L!C:C))</f>
        <v/>
      </c>
      <c r="M323" s="26">
        <f>IF(L323=MIN(L321:L323),1,0)</f>
        <v>0</v>
      </c>
    </row>
    <row r="324" ht="15.0" customHeight="1">
      <c r="A324" s="33" t="s">
        <v>78</v>
      </c>
      <c r="B324" s="18">
        <v>1.0</v>
      </c>
      <c r="C324" s="19" t="s">
        <v>224</v>
      </c>
      <c r="D324" s="21"/>
      <c r="E324" s="21"/>
      <c r="F324" s="22">
        <v>800.0</v>
      </c>
      <c r="G324" s="22">
        <v>1000.0</v>
      </c>
      <c r="H324" s="23">
        <v>0.0</v>
      </c>
      <c r="I324" s="34">
        <v>1668.89</v>
      </c>
      <c r="J324" s="34"/>
      <c r="K324" s="25">
        <f t="shared" si="1"/>
        <v>0</v>
      </c>
      <c r="L324" s="25">
        <f>IF(I324=0,"",I324/F324*G324*LOOKUP(B324,L!A:A,L!C:C))</f>
        <v>1355.973125</v>
      </c>
      <c r="M324" s="26">
        <f>IF(L324=MIN(L324:L326),1,0)</f>
        <v>1</v>
      </c>
    </row>
    <row r="325" ht="15.0" hidden="1" customHeight="1">
      <c r="A325" s="33" t="s">
        <v>78</v>
      </c>
      <c r="B325" s="28">
        <v>2.0</v>
      </c>
      <c r="C325" s="29" t="s">
        <v>224</v>
      </c>
      <c r="D325" s="21"/>
      <c r="E325" s="21" t="s">
        <v>86</v>
      </c>
      <c r="F325" s="30">
        <v>400.0</v>
      </c>
      <c r="G325" s="30">
        <v>1000.0</v>
      </c>
      <c r="H325" s="35"/>
      <c r="I325" s="36"/>
      <c r="J325" s="36"/>
      <c r="K325" s="25">
        <f t="shared" si="1"/>
        <v>0</v>
      </c>
      <c r="L325" s="25" t="str">
        <f>IF(I325=0,"",I325/F325*G325*LOOKUP(B325,L!A:A,L!C:C))</f>
        <v/>
      </c>
      <c r="M325" s="26">
        <f>IF(L325=MIN(L324:L326),1,0)</f>
        <v>0</v>
      </c>
    </row>
    <row r="326" ht="15.0" hidden="1" customHeight="1">
      <c r="A326" s="33" t="s">
        <v>78</v>
      </c>
      <c r="B326" s="28">
        <v>4.0</v>
      </c>
      <c r="C326" s="29" t="s">
        <v>224</v>
      </c>
      <c r="D326" s="20"/>
      <c r="E326" s="20" t="s">
        <v>225</v>
      </c>
      <c r="F326" s="30">
        <v>820.0</v>
      </c>
      <c r="G326" s="30">
        <v>1000.0</v>
      </c>
      <c r="H326" s="35"/>
      <c r="I326" s="31"/>
      <c r="J326" s="31"/>
      <c r="K326" s="25">
        <f t="shared" si="1"/>
        <v>0</v>
      </c>
      <c r="L326" s="25" t="str">
        <f>IF(I326=0,"",I326/F326*G326*LOOKUP(B326,L!A:A,L!C:C))</f>
        <v/>
      </c>
      <c r="M326" s="26">
        <f>IF(L326=MIN(L324:L326),1,0)</f>
        <v>0</v>
      </c>
    </row>
    <row r="327" ht="15.0" hidden="1" customHeight="1">
      <c r="A327" s="33" t="s">
        <v>78</v>
      </c>
      <c r="B327" s="18">
        <v>1.0</v>
      </c>
      <c r="C327" s="37" t="s">
        <v>226</v>
      </c>
      <c r="D327" s="20"/>
      <c r="E327" s="20"/>
      <c r="F327" s="22">
        <v>400.0</v>
      </c>
      <c r="G327" s="22">
        <v>1000.0</v>
      </c>
      <c r="H327" s="23"/>
      <c r="I327" s="24">
        <v>1908.25</v>
      </c>
      <c r="J327" s="24"/>
      <c r="K327" s="25">
        <f t="shared" si="1"/>
        <v>0</v>
      </c>
      <c r="L327" s="25">
        <f>IF(I327=0,"",I327/F327*G327*LOOKUP(B327,L!A:A,L!C:C))</f>
        <v>3100.90625</v>
      </c>
      <c r="M327" s="26">
        <f>IF(L327=MIN(L327:L329),1,0)</f>
        <v>0</v>
      </c>
    </row>
    <row r="328" ht="15.0" hidden="1" customHeight="1">
      <c r="A328" s="33" t="s">
        <v>78</v>
      </c>
      <c r="B328" s="28">
        <v>2.0</v>
      </c>
      <c r="C328" s="29" t="s">
        <v>226</v>
      </c>
      <c r="D328" s="20"/>
      <c r="E328" s="20" t="s">
        <v>227</v>
      </c>
      <c r="F328" s="30">
        <v>400.0</v>
      </c>
      <c r="G328" s="30">
        <v>1000.0</v>
      </c>
      <c r="H328" s="23"/>
      <c r="I328" s="31">
        <v>1450.0</v>
      </c>
      <c r="J328" s="31"/>
      <c r="K328" s="25">
        <f t="shared" si="1"/>
        <v>0</v>
      </c>
      <c r="L328" s="25">
        <f>IF(I328=0,"",I328/F328*G328*LOOKUP(B328,L!A:A,L!C:C))</f>
        <v>2718.75</v>
      </c>
      <c r="M328" s="26">
        <f>IF(L328=MIN(L327:L329),1,0)</f>
        <v>1</v>
      </c>
    </row>
    <row r="329" ht="15.0" hidden="1" customHeight="1">
      <c r="A329" s="33" t="s">
        <v>78</v>
      </c>
      <c r="B329" s="28">
        <v>3.0</v>
      </c>
      <c r="C329" s="29" t="s">
        <v>226</v>
      </c>
      <c r="D329" s="21"/>
      <c r="E329" s="21"/>
      <c r="F329" s="30">
        <v>400.0</v>
      </c>
      <c r="G329" s="30">
        <v>1000.0</v>
      </c>
      <c r="H329" s="23">
        <v>0.0</v>
      </c>
      <c r="I329" s="31">
        <v>1719.0</v>
      </c>
      <c r="J329" s="31"/>
      <c r="K329" s="25">
        <f t="shared" si="1"/>
        <v>0</v>
      </c>
      <c r="L329" s="25">
        <f>IF(I329=0,"",I329/F329*G329*LOOKUP(B329,L!A:A,L!C:C))</f>
        <v>3223.125</v>
      </c>
      <c r="M329" s="26">
        <f>IF(L329=MIN(L327:L329),1,0)</f>
        <v>0</v>
      </c>
    </row>
    <row r="330" ht="15.0" hidden="1" customHeight="1">
      <c r="A330" s="17" t="s">
        <v>48</v>
      </c>
      <c r="B330" s="18">
        <v>4.0</v>
      </c>
      <c r="C330" s="19" t="s">
        <v>228</v>
      </c>
      <c r="D330" s="21"/>
      <c r="E330" s="21"/>
      <c r="F330" s="22">
        <v>2000.0</v>
      </c>
      <c r="G330" s="22">
        <v>1000.0</v>
      </c>
      <c r="H330" s="35"/>
      <c r="I330" s="34"/>
      <c r="J330" s="34"/>
      <c r="K330" s="25">
        <f t="shared" si="1"/>
        <v>0</v>
      </c>
      <c r="L330" s="25" t="str">
        <f>IF(I330=0,"",I330/F330*G330*LOOKUP(B330,L!A:A,L!C:C))</f>
        <v/>
      </c>
      <c r="M330" s="26">
        <f>IF(L330=MIN(L330:L332),1,0)</f>
        <v>0</v>
      </c>
    </row>
    <row r="331" ht="15.0" hidden="1" customHeight="1">
      <c r="A331" s="27" t="s">
        <v>48</v>
      </c>
      <c r="B331" s="28">
        <v>2.0</v>
      </c>
      <c r="C331" s="29" t="s">
        <v>228</v>
      </c>
      <c r="D331" s="21"/>
      <c r="E331" s="21"/>
      <c r="F331" s="30">
        <v>2000.0</v>
      </c>
      <c r="G331" s="30">
        <v>1000.0</v>
      </c>
      <c r="H331" s="35"/>
      <c r="I331" s="36">
        <v>1650.0</v>
      </c>
      <c r="J331" s="36"/>
      <c r="K331" s="25">
        <f t="shared" si="1"/>
        <v>0</v>
      </c>
      <c r="L331" s="25">
        <f>IF(I331=0,"",I331/F331*G331*LOOKUP(B331,L!A:A,L!C:C))</f>
        <v>618.75</v>
      </c>
      <c r="M331" s="26">
        <f>IF(L331=MIN(L330:L332),1,0)</f>
        <v>1</v>
      </c>
    </row>
    <row r="332" ht="15.0" hidden="1" customHeight="1">
      <c r="A332" s="17" t="s">
        <v>48</v>
      </c>
      <c r="B332" s="28">
        <v>4.0</v>
      </c>
      <c r="C332" s="29" t="s">
        <v>228</v>
      </c>
      <c r="D332" s="21"/>
      <c r="E332" s="21"/>
      <c r="F332" s="32">
        <v>1000.0</v>
      </c>
      <c r="G332" s="30">
        <v>1000.0</v>
      </c>
      <c r="H332" s="23"/>
      <c r="I332" s="31">
        <v>1145.0</v>
      </c>
      <c r="J332" s="31"/>
      <c r="K332" s="25">
        <f t="shared" si="1"/>
        <v>0</v>
      </c>
      <c r="L332" s="25">
        <f>IF(I332=0,"",I332/F332*G332*LOOKUP(B332,L!A:A,L!C:C))</f>
        <v>1145</v>
      </c>
      <c r="M332" s="26">
        <f>IF(L332=MIN(L330:L332),1,0)</f>
        <v>0</v>
      </c>
    </row>
    <row r="333" ht="15.0" hidden="1" customHeight="1">
      <c r="A333" s="17" t="s">
        <v>48</v>
      </c>
      <c r="B333" s="18">
        <v>1.0</v>
      </c>
      <c r="C333" s="39" t="s">
        <v>229</v>
      </c>
      <c r="D333" s="21"/>
      <c r="E333" s="21"/>
      <c r="F333" s="22"/>
      <c r="G333" s="38">
        <v>1000.0</v>
      </c>
      <c r="H333" s="23"/>
      <c r="I333" s="34"/>
      <c r="J333" s="34"/>
      <c r="K333" s="25">
        <f t="shared" si="1"/>
        <v>0</v>
      </c>
      <c r="L333" s="25" t="str">
        <f>IF(I333=0,"",I333/F333*G333*LOOKUP(B333,L!A:A,L!C:C))</f>
        <v/>
      </c>
      <c r="M333" s="26">
        <f>IF(L333=MIN(L333:L335),1,0)</f>
        <v>0</v>
      </c>
    </row>
    <row r="334" ht="15.0" hidden="1" customHeight="1">
      <c r="A334" s="27" t="s">
        <v>48</v>
      </c>
      <c r="B334" s="28">
        <v>2.0</v>
      </c>
      <c r="C334" s="39" t="s">
        <v>229</v>
      </c>
      <c r="D334" s="21"/>
      <c r="E334" s="21"/>
      <c r="F334" s="32"/>
      <c r="G334" s="38">
        <v>1000.0</v>
      </c>
      <c r="H334" s="23"/>
      <c r="I334" s="36"/>
      <c r="J334" s="36"/>
      <c r="K334" s="25">
        <f t="shared" si="1"/>
        <v>0</v>
      </c>
      <c r="L334" s="25" t="str">
        <f>IF(I334=0,"",I334/F334*G334*LOOKUP(B334,L!A:A,L!C:C))</f>
        <v/>
      </c>
      <c r="M334" s="26">
        <f>IF(L334=MIN(L333:L335),1,0)</f>
        <v>0</v>
      </c>
    </row>
    <row r="335" ht="15.0" hidden="1" customHeight="1">
      <c r="A335" s="17" t="s">
        <v>48</v>
      </c>
      <c r="B335" s="28">
        <v>4.0</v>
      </c>
      <c r="C335" s="39" t="s">
        <v>229</v>
      </c>
      <c r="D335" s="20"/>
      <c r="E335" s="20" t="s">
        <v>230</v>
      </c>
      <c r="F335" s="32">
        <v>500.0</v>
      </c>
      <c r="G335" s="38">
        <v>1000.0</v>
      </c>
      <c r="H335" s="35"/>
      <c r="I335" s="36"/>
      <c r="J335" s="36"/>
      <c r="K335" s="25">
        <f t="shared" si="1"/>
        <v>0</v>
      </c>
      <c r="L335" s="25" t="str">
        <f>IF(I335=0,"",I335/F335*G335*LOOKUP(B335,L!A:A,L!C:C))</f>
        <v/>
      </c>
      <c r="M335" s="26">
        <f>IF(L335=MIN(L333:L335),1,0)</f>
        <v>0</v>
      </c>
    </row>
    <row r="336" ht="15.0" customHeight="1">
      <c r="A336" s="33" t="s">
        <v>139</v>
      </c>
      <c r="B336" s="18">
        <v>1.0</v>
      </c>
      <c r="C336" s="29" t="s">
        <v>231</v>
      </c>
      <c r="D336" s="21"/>
      <c r="E336" s="21"/>
      <c r="F336" s="22">
        <v>1000.0</v>
      </c>
      <c r="G336" s="22">
        <v>1000.0</v>
      </c>
      <c r="H336" s="23">
        <v>0.0</v>
      </c>
      <c r="I336" s="24">
        <v>2382.25</v>
      </c>
      <c r="J336" s="24"/>
      <c r="K336" s="25">
        <f t="shared" si="1"/>
        <v>0</v>
      </c>
      <c r="L336" s="25">
        <f>IF(I336=0,"",I336/F336*G336*LOOKUP(B336,L!A:A,L!C:C))</f>
        <v>1548.4625</v>
      </c>
      <c r="M336" s="26">
        <f>IF(L336=MIN(L336:L338),1,0)</f>
        <v>0</v>
      </c>
    </row>
    <row r="337" ht="15.0" hidden="1" customHeight="1">
      <c r="A337" s="33" t="s">
        <v>139</v>
      </c>
      <c r="B337" s="28">
        <v>3.0</v>
      </c>
      <c r="C337" s="29" t="s">
        <v>231</v>
      </c>
      <c r="D337" s="21"/>
      <c r="E337" s="21" t="s">
        <v>232</v>
      </c>
      <c r="F337" s="30">
        <v>1000.0</v>
      </c>
      <c r="G337" s="30">
        <v>1000.0</v>
      </c>
      <c r="H337" s="23">
        <v>3.0</v>
      </c>
      <c r="I337" s="31">
        <v>1499.0</v>
      </c>
      <c r="J337" s="31"/>
      <c r="K337" s="25">
        <f t="shared" si="1"/>
        <v>4497</v>
      </c>
      <c r="L337" s="25">
        <f>IF(I337=0,"",I337/F337*G337*LOOKUP(B337,L!A:A,L!C:C))</f>
        <v>1124.25</v>
      </c>
      <c r="M337" s="26">
        <f>IF(L337=MIN(L336:L338),1,0)</f>
        <v>1</v>
      </c>
    </row>
    <row r="338" ht="15.0" hidden="1" customHeight="1">
      <c r="A338" s="33" t="s">
        <v>139</v>
      </c>
      <c r="B338" s="28">
        <v>4.0</v>
      </c>
      <c r="C338" s="29" t="s">
        <v>231</v>
      </c>
      <c r="D338" s="20"/>
      <c r="E338" s="20" t="s">
        <v>233</v>
      </c>
      <c r="F338" s="30">
        <v>1000.0</v>
      </c>
      <c r="G338" s="30">
        <v>1000.0</v>
      </c>
      <c r="H338" s="23"/>
      <c r="I338" s="31">
        <v>1990.0</v>
      </c>
      <c r="J338" s="31"/>
      <c r="K338" s="25">
        <f t="shared" si="1"/>
        <v>0</v>
      </c>
      <c r="L338" s="25">
        <f>IF(I338=0,"",I338/F338*G338*LOOKUP(B338,L!A:A,L!C:C))</f>
        <v>1990</v>
      </c>
      <c r="M338" s="26">
        <f>IF(L338=MIN(L336:L338),1,0)</f>
        <v>0</v>
      </c>
    </row>
    <row r="339" ht="15.0" hidden="1" customHeight="1">
      <c r="A339" s="33" t="s">
        <v>139</v>
      </c>
      <c r="B339" s="18">
        <v>1.0</v>
      </c>
      <c r="C339" s="19" t="s">
        <v>234</v>
      </c>
      <c r="D339" s="21"/>
      <c r="E339" s="20" t="s">
        <v>235</v>
      </c>
      <c r="F339" s="22">
        <v>1000.0</v>
      </c>
      <c r="G339" s="22">
        <v>1000.0</v>
      </c>
      <c r="H339" s="23"/>
      <c r="I339" s="24">
        <v>2773.0</v>
      </c>
      <c r="J339" s="24"/>
      <c r="K339" s="25">
        <f t="shared" si="1"/>
        <v>0</v>
      </c>
      <c r="L339" s="25">
        <f>IF(I339=0,"",I339/F339*G339*LOOKUP(B339,L!A:A,L!C:C))</f>
        <v>1802.45</v>
      </c>
      <c r="M339" s="26">
        <f>IF(L339=MIN(L339:L341),1,0)</f>
        <v>1</v>
      </c>
    </row>
    <row r="340" ht="15.0" hidden="1" customHeight="1">
      <c r="A340" s="33" t="s">
        <v>139</v>
      </c>
      <c r="B340" s="28">
        <v>2.0</v>
      </c>
      <c r="C340" s="29" t="s">
        <v>234</v>
      </c>
      <c r="D340" s="21"/>
      <c r="E340" s="21"/>
      <c r="F340" s="30"/>
      <c r="G340" s="30">
        <v>1000.0</v>
      </c>
      <c r="H340" s="35"/>
      <c r="I340" s="36"/>
      <c r="J340" s="36"/>
      <c r="K340" s="25">
        <f t="shared" si="1"/>
        <v>0</v>
      </c>
      <c r="L340" s="25" t="str">
        <f>IF(I340=0,"",I340/F340*G340*LOOKUP(B340,L!A:A,L!C:C))</f>
        <v/>
      </c>
      <c r="M340" s="26">
        <f>IF(L340=MIN(L339:L341),1,0)</f>
        <v>0</v>
      </c>
    </row>
    <row r="341" ht="15.0" hidden="1" customHeight="1">
      <c r="A341" s="33" t="s">
        <v>139</v>
      </c>
      <c r="B341" s="28">
        <v>4.0</v>
      </c>
      <c r="C341" s="29" t="s">
        <v>234</v>
      </c>
      <c r="D341" s="21"/>
      <c r="E341" s="21"/>
      <c r="F341" s="30">
        <v>1000.0</v>
      </c>
      <c r="G341" s="30">
        <v>1000.0</v>
      </c>
      <c r="H341" s="23"/>
      <c r="I341" s="36"/>
      <c r="J341" s="36"/>
      <c r="K341" s="25">
        <f t="shared" si="1"/>
        <v>0</v>
      </c>
      <c r="L341" s="25" t="str">
        <f>IF(I341=0,"",I341/F341*G341*LOOKUP(B341,L!A:A,L!C:C))</f>
        <v/>
      </c>
      <c r="M341" s="26">
        <f>IF(L341=MIN(L339:L341),1,0)</f>
        <v>0</v>
      </c>
    </row>
    <row r="342" ht="15.0" hidden="1" customHeight="1">
      <c r="A342" s="17" t="s">
        <v>55</v>
      </c>
      <c r="B342" s="18">
        <v>1.0</v>
      </c>
      <c r="C342" s="19" t="s">
        <v>236</v>
      </c>
      <c r="D342" s="21"/>
      <c r="E342" s="21"/>
      <c r="F342" s="22">
        <v>1000.0</v>
      </c>
      <c r="G342" s="22">
        <v>1000.0</v>
      </c>
      <c r="H342" s="35"/>
      <c r="I342" s="34"/>
      <c r="J342" s="34"/>
      <c r="K342" s="25">
        <f t="shared" si="1"/>
        <v>0</v>
      </c>
      <c r="L342" s="25" t="str">
        <f>IF(I342=0,"",I342/F342*G342*LOOKUP(B342,L!A:A,L!C:C))</f>
        <v/>
      </c>
      <c r="M342" s="26">
        <f>IF(L342=MIN(L342:L344),1,0)</f>
        <v>0</v>
      </c>
    </row>
    <row r="343" ht="15.0" hidden="1" customHeight="1">
      <c r="A343" s="27" t="s">
        <v>55</v>
      </c>
      <c r="B343" s="28">
        <v>2.0</v>
      </c>
      <c r="C343" s="29" t="s">
        <v>236</v>
      </c>
      <c r="D343" s="21"/>
      <c r="E343" s="21"/>
      <c r="F343" s="30"/>
      <c r="G343" s="30">
        <v>1000.0</v>
      </c>
      <c r="H343" s="35"/>
      <c r="I343" s="36"/>
      <c r="J343" s="36"/>
      <c r="K343" s="25">
        <f t="shared" si="1"/>
        <v>0</v>
      </c>
      <c r="L343" s="25" t="str">
        <f>IF(I343=0,"",I343/F343*G343*LOOKUP(B343,L!A:A,L!C:C))</f>
        <v/>
      </c>
      <c r="M343" s="26">
        <f>IF(L343=MIN(L342:L344),1,0)</f>
        <v>0</v>
      </c>
    </row>
    <row r="344" ht="15.0" hidden="1" customHeight="1">
      <c r="A344" s="17" t="s">
        <v>55</v>
      </c>
      <c r="B344" s="28">
        <v>4.0</v>
      </c>
      <c r="C344" s="29" t="s">
        <v>236</v>
      </c>
      <c r="D344" s="21"/>
      <c r="E344" s="21"/>
      <c r="F344" s="30"/>
      <c r="G344" s="30">
        <v>1000.0</v>
      </c>
      <c r="H344" s="35"/>
      <c r="I344" s="36"/>
      <c r="J344" s="36"/>
      <c r="K344" s="25">
        <f t="shared" si="1"/>
        <v>0</v>
      </c>
      <c r="L344" s="25" t="str">
        <f>IF(I344=0,"",I344/F344*G344*LOOKUP(B344,L!A:A,L!C:C))</f>
        <v/>
      </c>
      <c r="M344" s="26">
        <f>IF(L344=MIN(L342:L344),1,0)</f>
        <v>0</v>
      </c>
    </row>
    <row r="345" ht="15.0" hidden="1" customHeight="1">
      <c r="A345" s="33" t="s">
        <v>65</v>
      </c>
      <c r="B345" s="18">
        <v>1.0</v>
      </c>
      <c r="C345" s="29" t="s">
        <v>237</v>
      </c>
      <c r="D345" s="20"/>
      <c r="E345" s="20"/>
      <c r="F345" s="30">
        <v>1000.0</v>
      </c>
      <c r="G345" s="22">
        <v>1000.0</v>
      </c>
      <c r="H345" s="23"/>
      <c r="I345" s="24">
        <v>470.0</v>
      </c>
      <c r="J345" s="24"/>
      <c r="K345" s="25">
        <f t="shared" si="1"/>
        <v>0</v>
      </c>
      <c r="L345" s="25">
        <f>IF(I345=0,"",I345/F345*G345*LOOKUP(B345,L!A:A,L!C:C))</f>
        <v>305.5</v>
      </c>
      <c r="M345" s="26">
        <f>IF(L345=MIN(L345:L347),1,0)</f>
        <v>1</v>
      </c>
    </row>
    <row r="346" ht="15.0" hidden="1" customHeight="1">
      <c r="A346" s="33" t="s">
        <v>65</v>
      </c>
      <c r="B346" s="28">
        <v>2.0</v>
      </c>
      <c r="C346" s="29" t="s">
        <v>237</v>
      </c>
      <c r="D346" s="21"/>
      <c r="E346" s="21"/>
      <c r="F346" s="30">
        <v>1000.0</v>
      </c>
      <c r="G346" s="30">
        <v>1000.0</v>
      </c>
      <c r="H346" s="23"/>
      <c r="I346" s="31">
        <v>999.0</v>
      </c>
      <c r="J346" s="31"/>
      <c r="K346" s="25">
        <f t="shared" si="1"/>
        <v>0</v>
      </c>
      <c r="L346" s="25">
        <f>IF(I346=0,"",I346/F346*G346*LOOKUP(B346,L!A:A,L!C:C))</f>
        <v>749.25</v>
      </c>
      <c r="M346" s="26">
        <f>IF(L346=MIN(L345:L347),1,0)</f>
        <v>0</v>
      </c>
    </row>
    <row r="347" ht="15.0" hidden="1" customHeight="1">
      <c r="A347" s="33" t="s">
        <v>65</v>
      </c>
      <c r="B347" s="28">
        <v>3.0</v>
      </c>
      <c r="C347" s="29" t="s">
        <v>237</v>
      </c>
      <c r="D347" s="21"/>
      <c r="E347" s="21"/>
      <c r="F347" s="32">
        <v>1000.0</v>
      </c>
      <c r="G347" s="30">
        <v>1000.0</v>
      </c>
      <c r="H347" s="23"/>
      <c r="I347" s="31">
        <v>700.0</v>
      </c>
      <c r="J347" s="31"/>
      <c r="K347" s="25">
        <f t="shared" si="1"/>
        <v>0</v>
      </c>
      <c r="L347" s="25">
        <f>IF(I347=0,"",I347/F347*G347*LOOKUP(B347,L!A:A,L!C:C))</f>
        <v>525</v>
      </c>
      <c r="M347" s="26">
        <f>IF(L347=MIN(L345:L347),1,0)</f>
        <v>0</v>
      </c>
    </row>
    <row r="348" ht="15.0" hidden="1" customHeight="1">
      <c r="A348" s="17" t="s">
        <v>48</v>
      </c>
      <c r="B348" s="18">
        <v>1.0</v>
      </c>
      <c r="C348" s="19" t="s">
        <v>238</v>
      </c>
      <c r="D348" s="21"/>
      <c r="E348" s="21"/>
      <c r="F348" s="22"/>
      <c r="G348" s="22">
        <v>1000.0</v>
      </c>
      <c r="H348" s="35"/>
      <c r="I348" s="34"/>
      <c r="J348" s="34"/>
      <c r="K348" s="25">
        <f t="shared" si="1"/>
        <v>0</v>
      </c>
      <c r="L348" s="25" t="str">
        <f>IF(I348=0,"",I348/F348*G348*LOOKUP(B348,L!A:A,L!C:C))</f>
        <v/>
      </c>
      <c r="M348" s="26">
        <f>IF(L348=MIN(L348:L350),1,0)</f>
        <v>0</v>
      </c>
    </row>
    <row r="349" ht="15.0" hidden="1" customHeight="1">
      <c r="A349" s="27" t="s">
        <v>48</v>
      </c>
      <c r="B349" s="28">
        <v>2.0</v>
      </c>
      <c r="C349" s="29" t="s">
        <v>238</v>
      </c>
      <c r="D349" s="21"/>
      <c r="E349" s="21"/>
      <c r="F349" s="30"/>
      <c r="G349" s="30">
        <v>1000.0</v>
      </c>
      <c r="H349" s="23"/>
      <c r="I349" s="36"/>
      <c r="J349" s="36"/>
      <c r="K349" s="25">
        <f t="shared" si="1"/>
        <v>0</v>
      </c>
      <c r="L349" s="25" t="str">
        <f>IF(I349=0,"",I349/F349*G349*LOOKUP(B349,L!A:A,L!C:C))</f>
        <v/>
      </c>
      <c r="M349" s="26">
        <f>IF(L349=MIN(L348:L350),1,0)</f>
        <v>0</v>
      </c>
    </row>
    <row r="350" ht="15.0" hidden="1" customHeight="1">
      <c r="A350" s="17" t="s">
        <v>48</v>
      </c>
      <c r="B350" s="28">
        <v>4.0</v>
      </c>
      <c r="C350" s="29" t="s">
        <v>238</v>
      </c>
      <c r="D350" s="21"/>
      <c r="E350" s="21"/>
      <c r="F350" s="30"/>
      <c r="G350" s="30">
        <v>1000.0</v>
      </c>
      <c r="H350" s="35"/>
      <c r="I350" s="36"/>
      <c r="J350" s="36"/>
      <c r="K350" s="25">
        <f t="shared" si="1"/>
        <v>0</v>
      </c>
      <c r="L350" s="25" t="str">
        <f>IF(I350=0,"",I350/F350*G350*LOOKUP(B350,L!A:A,L!C:C))</f>
        <v/>
      </c>
      <c r="M350" s="26">
        <f>IF(L350=MIN(L348:L350),1,0)</f>
        <v>0</v>
      </c>
    </row>
    <row r="351" ht="15.0" hidden="1" customHeight="1">
      <c r="A351" s="33" t="s">
        <v>71</v>
      </c>
      <c r="B351" s="18">
        <v>1.0</v>
      </c>
      <c r="C351" s="19" t="s">
        <v>239</v>
      </c>
      <c r="D351" s="21"/>
      <c r="E351" s="21"/>
      <c r="F351" s="22">
        <v>400.0</v>
      </c>
      <c r="G351" s="22">
        <v>1000.0</v>
      </c>
      <c r="H351" s="35"/>
      <c r="I351" s="34">
        <v>1923.89</v>
      </c>
      <c r="J351" s="34"/>
      <c r="K351" s="25">
        <f t="shared" si="1"/>
        <v>0</v>
      </c>
      <c r="L351" s="25">
        <f>IF(I351=0,"",I351/F351*G351*LOOKUP(B351,L!A:A,L!C:C))</f>
        <v>3126.32125</v>
      </c>
      <c r="M351" s="26">
        <f>IF(L351=MIN(L351:L353),1,0)</f>
        <v>1</v>
      </c>
    </row>
    <row r="352" ht="15.0" hidden="1" customHeight="1">
      <c r="A352" s="33" t="s">
        <v>71</v>
      </c>
      <c r="B352" s="28">
        <v>2.0</v>
      </c>
      <c r="C352" s="29" t="s">
        <v>239</v>
      </c>
      <c r="D352" s="21"/>
      <c r="E352" s="21"/>
      <c r="F352" s="30"/>
      <c r="G352" s="30">
        <v>1000.0</v>
      </c>
      <c r="H352" s="35"/>
      <c r="I352" s="36"/>
      <c r="J352" s="36"/>
      <c r="K352" s="25">
        <f t="shared" si="1"/>
        <v>0</v>
      </c>
      <c r="L352" s="25" t="str">
        <f>IF(I352=0,"",I352/F352*G352*LOOKUP(B352,L!A:A,L!C:C))</f>
        <v/>
      </c>
      <c r="M352" s="26">
        <f>IF(L352=MIN(L351:L353),1,0)</f>
        <v>0</v>
      </c>
    </row>
    <row r="353" ht="15.0" hidden="1" customHeight="1">
      <c r="A353" s="33" t="s">
        <v>71</v>
      </c>
      <c r="B353" s="28">
        <v>4.0</v>
      </c>
      <c r="C353" s="29" t="s">
        <v>239</v>
      </c>
      <c r="D353" s="21"/>
      <c r="E353" s="21"/>
      <c r="F353" s="30"/>
      <c r="G353" s="30">
        <v>1000.0</v>
      </c>
      <c r="H353" s="35"/>
      <c r="I353" s="36"/>
      <c r="J353" s="36"/>
      <c r="K353" s="25">
        <f t="shared" si="1"/>
        <v>0</v>
      </c>
      <c r="L353" s="25" t="str">
        <f>IF(I353=0,"",I353/F353*G353*LOOKUP(B353,L!A:A,L!C:C))</f>
        <v/>
      </c>
      <c r="M353" s="26">
        <f>IF(L353=MIN(L351:L353),1,0)</f>
        <v>0</v>
      </c>
    </row>
    <row r="354" ht="15.0" hidden="1" customHeight="1">
      <c r="A354" s="17" t="s">
        <v>84</v>
      </c>
      <c r="B354" s="18">
        <v>1.0</v>
      </c>
      <c r="C354" s="19" t="s">
        <v>240</v>
      </c>
      <c r="D354" s="21"/>
      <c r="E354" s="21" t="s">
        <v>241</v>
      </c>
      <c r="F354" s="22">
        <v>100.0</v>
      </c>
      <c r="G354" s="22">
        <v>1000.0</v>
      </c>
      <c r="H354" s="35"/>
      <c r="I354" s="34"/>
      <c r="J354" s="34"/>
      <c r="K354" s="25">
        <f t="shared" si="1"/>
        <v>0</v>
      </c>
      <c r="L354" s="25" t="str">
        <f>IF(I354=0,"",I354/F354*G354*LOOKUP(B354,L!A:A,L!C:C))</f>
        <v/>
      </c>
      <c r="M354" s="26">
        <f>IF(L354=MIN(L354:L356),1,0)</f>
        <v>0</v>
      </c>
    </row>
    <row r="355" ht="15.0" hidden="1" customHeight="1">
      <c r="A355" s="27" t="s">
        <v>84</v>
      </c>
      <c r="B355" s="28">
        <v>2.0</v>
      </c>
      <c r="C355" s="29" t="s">
        <v>240</v>
      </c>
      <c r="D355" s="21"/>
      <c r="E355" s="21"/>
      <c r="F355" s="30"/>
      <c r="G355" s="30">
        <v>1000.0</v>
      </c>
      <c r="H355" s="35"/>
      <c r="I355" s="36"/>
      <c r="J355" s="36"/>
      <c r="K355" s="25">
        <f t="shared" si="1"/>
        <v>0</v>
      </c>
      <c r="L355" s="25" t="str">
        <f>IF(I355=0,"",I355/F355*G355*LOOKUP(B355,L!A:A,L!C:C))</f>
        <v/>
      </c>
      <c r="M355" s="26">
        <f>IF(L355=MIN(L354:L356),1,0)</f>
        <v>0</v>
      </c>
    </row>
    <row r="356" ht="15.0" hidden="1" customHeight="1">
      <c r="A356" s="17" t="s">
        <v>84</v>
      </c>
      <c r="B356" s="28">
        <v>4.0</v>
      </c>
      <c r="C356" s="29" t="s">
        <v>240</v>
      </c>
      <c r="D356" s="21"/>
      <c r="E356" s="21"/>
      <c r="F356" s="30"/>
      <c r="G356" s="30">
        <v>1000.0</v>
      </c>
      <c r="H356" s="35"/>
      <c r="I356" s="36"/>
      <c r="J356" s="36"/>
      <c r="K356" s="25">
        <f t="shared" si="1"/>
        <v>0</v>
      </c>
      <c r="L356" s="25" t="str">
        <f>IF(I356=0,"",I356/F356*G356*LOOKUP(B356,L!A:A,L!C:C))</f>
        <v/>
      </c>
      <c r="M356" s="26">
        <f>IF(L356=MIN(L354:L356),1,0)</f>
        <v>0</v>
      </c>
    </row>
    <row r="357" ht="15.0" hidden="1" customHeight="1">
      <c r="A357" s="33" t="s">
        <v>139</v>
      </c>
      <c r="B357" s="18">
        <v>1.0</v>
      </c>
      <c r="C357" s="19" t="s">
        <v>242</v>
      </c>
      <c r="D357" s="21"/>
      <c r="E357" s="21" t="s">
        <v>243</v>
      </c>
      <c r="F357" s="38">
        <v>200.0</v>
      </c>
      <c r="G357" s="22">
        <v>1000.0</v>
      </c>
      <c r="H357" s="23"/>
      <c r="I357" s="24">
        <v>3246.25</v>
      </c>
      <c r="J357" s="24"/>
      <c r="K357" s="25">
        <f t="shared" si="1"/>
        <v>0</v>
      </c>
      <c r="L357" s="25">
        <f>IF(I357=0,"",I357/F357*G357*LOOKUP(B357,L!A:A,L!C:C))</f>
        <v>10550.3125</v>
      </c>
      <c r="M357" s="26">
        <f>IF(L357=MIN(L357:L359),1,0)</f>
        <v>0</v>
      </c>
    </row>
    <row r="358" ht="15.0" hidden="1" customHeight="1">
      <c r="A358" s="33" t="s">
        <v>139</v>
      </c>
      <c r="B358" s="28">
        <v>2.0</v>
      </c>
      <c r="C358" s="29" t="s">
        <v>242</v>
      </c>
      <c r="D358" s="21"/>
      <c r="E358" s="21" t="s">
        <v>142</v>
      </c>
      <c r="F358" s="30">
        <v>200.0</v>
      </c>
      <c r="G358" s="30">
        <v>1000.0</v>
      </c>
      <c r="H358" s="35"/>
      <c r="I358" s="36">
        <v>2275.0</v>
      </c>
      <c r="J358" s="36"/>
      <c r="K358" s="25">
        <f t="shared" si="1"/>
        <v>0</v>
      </c>
      <c r="L358" s="25">
        <f>IF(I358=0,"",I358/F358*G358*LOOKUP(B358,L!A:A,L!C:C))</f>
        <v>8531.25</v>
      </c>
      <c r="M358" s="26">
        <f>IF(L358=MIN(L357:L359),1,0)</f>
        <v>1</v>
      </c>
    </row>
    <row r="359" ht="15.0" hidden="1" customHeight="1">
      <c r="A359" s="33" t="s">
        <v>139</v>
      </c>
      <c r="B359" s="28">
        <v>3.0</v>
      </c>
      <c r="C359" s="29" t="s">
        <v>242</v>
      </c>
      <c r="D359" s="21"/>
      <c r="E359" s="21"/>
      <c r="F359" s="32">
        <v>200.0</v>
      </c>
      <c r="G359" s="30">
        <v>1000.0</v>
      </c>
      <c r="H359" s="35"/>
      <c r="I359" s="31">
        <v>4909.0</v>
      </c>
      <c r="J359" s="36"/>
      <c r="K359" s="25">
        <f t="shared" si="1"/>
        <v>0</v>
      </c>
      <c r="L359" s="25">
        <f>IF(I359=0,"",I359/F359*G359*LOOKUP(B359,L!A:A,L!C:C))</f>
        <v>18408.75</v>
      </c>
      <c r="M359" s="26">
        <f>IF(L359=MIN(L357:L359),1,0)</f>
        <v>0</v>
      </c>
    </row>
    <row r="360" ht="15.0" hidden="1" customHeight="1">
      <c r="A360" s="33" t="s">
        <v>65</v>
      </c>
      <c r="B360" s="18">
        <v>1.0</v>
      </c>
      <c r="C360" s="29" t="s">
        <v>244</v>
      </c>
      <c r="D360" s="21"/>
      <c r="E360" s="21"/>
      <c r="F360" s="22">
        <v>1000.0</v>
      </c>
      <c r="G360" s="22">
        <v>1000.0</v>
      </c>
      <c r="H360" s="23"/>
      <c r="I360" s="24">
        <v>4046.0</v>
      </c>
      <c r="J360" s="24"/>
      <c r="K360" s="25">
        <f t="shared" si="1"/>
        <v>0</v>
      </c>
      <c r="L360" s="25">
        <f>IF(I360=0,"",I360/F360*G360*LOOKUP(B360,L!A:A,L!C:C))</f>
        <v>2629.9</v>
      </c>
      <c r="M360" s="26">
        <f>IF(L360=MIN(L360:L362),1,0)</f>
        <v>0</v>
      </c>
    </row>
    <row r="361" ht="15.0" hidden="1" customHeight="1">
      <c r="A361" s="33" t="s">
        <v>65</v>
      </c>
      <c r="B361" s="28">
        <v>2.0</v>
      </c>
      <c r="C361" s="29" t="s">
        <v>244</v>
      </c>
      <c r="D361" s="21"/>
      <c r="E361" s="21"/>
      <c r="F361" s="22">
        <v>1000.0</v>
      </c>
      <c r="G361" s="30">
        <v>1000.0</v>
      </c>
      <c r="H361" s="35"/>
      <c r="I361" s="36"/>
      <c r="J361" s="36"/>
      <c r="K361" s="25">
        <f t="shared" si="1"/>
        <v>0</v>
      </c>
      <c r="L361" s="25" t="str">
        <f>IF(I361=0,"",I361/F361*G361*LOOKUP(B361,L!A:A,L!C:C))</f>
        <v/>
      </c>
      <c r="M361" s="26">
        <f>IF(L361=MIN(L360:L362),1,0)</f>
        <v>0</v>
      </c>
    </row>
    <row r="362" ht="15.0" hidden="1" customHeight="1">
      <c r="A362" s="33" t="s">
        <v>65</v>
      </c>
      <c r="B362" s="28">
        <v>3.0</v>
      </c>
      <c r="C362" s="29" t="s">
        <v>244</v>
      </c>
      <c r="D362" s="21"/>
      <c r="E362" s="21"/>
      <c r="F362" s="22">
        <v>1000.0</v>
      </c>
      <c r="G362" s="30">
        <v>1000.0</v>
      </c>
      <c r="H362" s="23"/>
      <c r="I362" s="31">
        <v>2397.88</v>
      </c>
      <c r="J362" s="36"/>
      <c r="K362" s="25">
        <f t="shared" si="1"/>
        <v>0</v>
      </c>
      <c r="L362" s="25">
        <f>IF(I362=0,"",I362/F362*G362*LOOKUP(B362,L!A:A,L!C:C))</f>
        <v>1798.41</v>
      </c>
      <c r="M362" s="26">
        <f>IF(L362=MIN(L360:L362),1,0)</f>
        <v>1</v>
      </c>
    </row>
    <row r="363" ht="15.0" hidden="1" customHeight="1">
      <c r="A363" s="27" t="s">
        <v>41</v>
      </c>
      <c r="B363" s="18">
        <v>1.0</v>
      </c>
      <c r="C363" s="29" t="s">
        <v>245</v>
      </c>
      <c r="D363" s="21"/>
      <c r="E363" s="21"/>
      <c r="F363" s="38">
        <v>100.0</v>
      </c>
      <c r="G363" s="22">
        <v>1000.0</v>
      </c>
      <c r="H363" s="23"/>
      <c r="I363" s="24">
        <v>530.0</v>
      </c>
      <c r="J363" s="24"/>
      <c r="K363" s="25">
        <f t="shared" si="1"/>
        <v>0</v>
      </c>
      <c r="L363" s="25">
        <f>IF(I363=0,"",I363/F363*G363*LOOKUP(B363,L!A:A,L!C:C))</f>
        <v>3445</v>
      </c>
      <c r="M363" s="26">
        <f>IF(L363=MIN(L363:L365),1,0)</f>
        <v>1</v>
      </c>
    </row>
    <row r="364" ht="15.0" hidden="1" customHeight="1">
      <c r="A364" s="27" t="s">
        <v>41</v>
      </c>
      <c r="B364" s="28">
        <v>2.0</v>
      </c>
      <c r="C364" s="29" t="s">
        <v>245</v>
      </c>
      <c r="D364" s="21"/>
      <c r="E364" s="21" t="s">
        <v>246</v>
      </c>
      <c r="F364" s="30">
        <v>237.0</v>
      </c>
      <c r="G364" s="30">
        <v>1000.0</v>
      </c>
      <c r="H364" s="35"/>
      <c r="I364" s="36"/>
      <c r="J364" s="36"/>
      <c r="K364" s="25">
        <f t="shared" si="1"/>
        <v>0</v>
      </c>
      <c r="L364" s="25" t="str">
        <f>IF(I364=0,"",I364/F364*G364*LOOKUP(B364,L!A:A,L!C:C))</f>
        <v/>
      </c>
      <c r="M364" s="26">
        <f>IF(L364=MIN(L363:L365),1,0)</f>
        <v>0</v>
      </c>
    </row>
    <row r="365" ht="15.0" hidden="1" customHeight="1">
      <c r="A365" s="17" t="s">
        <v>41</v>
      </c>
      <c r="B365" s="28">
        <v>4.0</v>
      </c>
      <c r="C365" s="29" t="s">
        <v>245</v>
      </c>
      <c r="D365" s="21"/>
      <c r="E365" s="21"/>
      <c r="F365" s="32">
        <v>100.0</v>
      </c>
      <c r="G365" s="30">
        <v>1000.0</v>
      </c>
      <c r="H365" s="35"/>
      <c r="I365" s="36"/>
      <c r="J365" s="36"/>
      <c r="K365" s="25">
        <f t="shared" si="1"/>
        <v>0</v>
      </c>
      <c r="L365" s="25" t="str">
        <f>IF(I365=0,"",I365/F365*G365*LOOKUP(B365,L!A:A,L!C:C))</f>
        <v/>
      </c>
      <c r="M365" s="26">
        <f>IF(L365=MIN(L363:L365),1,0)</f>
        <v>0</v>
      </c>
    </row>
    <row r="366" ht="15.0" hidden="1" customHeight="1">
      <c r="A366" s="17" t="s">
        <v>145</v>
      </c>
      <c r="B366" s="18">
        <v>1.0</v>
      </c>
      <c r="C366" s="37" t="s">
        <v>247</v>
      </c>
      <c r="D366" s="19"/>
      <c r="E366" s="19"/>
      <c r="F366" s="38">
        <v>1000.0</v>
      </c>
      <c r="G366" s="22">
        <v>1000.0</v>
      </c>
      <c r="H366" s="35"/>
      <c r="I366" s="34"/>
      <c r="J366" s="34"/>
      <c r="K366" s="25">
        <f t="shared" si="1"/>
        <v>0</v>
      </c>
      <c r="L366" s="25" t="str">
        <f>IF(I366=0,"",I366/F366*G366*LOOKUP(B366,L!A:A,L!C:C))</f>
        <v/>
      </c>
      <c r="M366" s="26">
        <f>IF(L366=MIN(L366:L368),1,0)</f>
        <v>0</v>
      </c>
    </row>
    <row r="367" ht="15.0" hidden="1" customHeight="1">
      <c r="A367" s="27" t="s">
        <v>145</v>
      </c>
      <c r="B367" s="28">
        <v>9.0</v>
      </c>
      <c r="C367" s="37" t="s">
        <v>247</v>
      </c>
      <c r="D367" s="29"/>
      <c r="E367" s="29"/>
      <c r="F367" s="38">
        <v>1000.0</v>
      </c>
      <c r="G367" s="30">
        <v>1000.0</v>
      </c>
      <c r="H367" s="35"/>
      <c r="I367" s="31">
        <v>6500.0</v>
      </c>
      <c r="J367" s="36"/>
      <c r="K367" s="25">
        <f t="shared" si="1"/>
        <v>0</v>
      </c>
      <c r="L367" s="25">
        <f>IF(I367=0,"",I367/F367*G367*LOOKUP(B367,L!A:A,L!C:C))</f>
        <v>0</v>
      </c>
      <c r="M367" s="26">
        <f>IF(L367=MIN(L366:L368),1,0)</f>
        <v>1</v>
      </c>
    </row>
    <row r="368" ht="15.0" hidden="1" customHeight="1">
      <c r="A368" s="17" t="s">
        <v>145</v>
      </c>
      <c r="B368" s="28">
        <v>10.0</v>
      </c>
      <c r="C368" s="37" t="s">
        <v>247</v>
      </c>
      <c r="D368" s="29"/>
      <c r="E368" s="29"/>
      <c r="F368" s="38">
        <v>1000.0</v>
      </c>
      <c r="G368" s="30">
        <v>1000.0</v>
      </c>
      <c r="H368" s="35"/>
      <c r="I368" s="31">
        <v>5680.0</v>
      </c>
      <c r="J368" s="31"/>
      <c r="K368" s="25">
        <f t="shared" si="1"/>
        <v>0</v>
      </c>
      <c r="L368" s="25">
        <f>IF(I368=0,"",I368/F368*G368*LOOKUP(B368,L!A:A,L!C:C))</f>
        <v>0</v>
      </c>
      <c r="M368" s="26">
        <f>IF(L368=MIN(L366:L368),1,0)</f>
        <v>1</v>
      </c>
    </row>
    <row r="369" ht="15.0" hidden="1" customHeight="1">
      <c r="A369" s="17" t="s">
        <v>59</v>
      </c>
      <c r="B369" s="18">
        <v>1.0</v>
      </c>
      <c r="C369" s="19" t="s">
        <v>248</v>
      </c>
      <c r="D369" s="20"/>
      <c r="E369" s="20" t="s">
        <v>183</v>
      </c>
      <c r="F369" s="38">
        <v>454.0</v>
      </c>
      <c r="G369" s="22">
        <v>1000.0</v>
      </c>
      <c r="H369" s="23"/>
      <c r="I369" s="24">
        <v>4271.35</v>
      </c>
      <c r="J369" s="24"/>
      <c r="K369" s="25">
        <f t="shared" si="1"/>
        <v>0</v>
      </c>
      <c r="L369" s="25">
        <f>IF(I369=0,"",I369/F369*G369*LOOKUP(B369,L!A:A,L!C:C))</f>
        <v>6115.368943</v>
      </c>
      <c r="M369" s="26">
        <f>IF(L369=MIN(L369:L371),1,0)</f>
        <v>1</v>
      </c>
    </row>
    <row r="370" ht="15.0" hidden="1" customHeight="1">
      <c r="A370" s="27" t="s">
        <v>59</v>
      </c>
      <c r="B370" s="28">
        <v>2.0</v>
      </c>
      <c r="C370" s="29" t="s">
        <v>248</v>
      </c>
      <c r="D370" s="21"/>
      <c r="E370" s="21"/>
      <c r="F370" s="30">
        <v>390.0</v>
      </c>
      <c r="G370" s="30">
        <v>1000.0</v>
      </c>
      <c r="H370" s="35"/>
      <c r="I370" s="36"/>
      <c r="J370" s="36"/>
      <c r="K370" s="25">
        <f t="shared" si="1"/>
        <v>0</v>
      </c>
      <c r="L370" s="25" t="str">
        <f>IF(I370=0,"",I370/F370*G370*LOOKUP(B370,L!A:A,L!C:C))</f>
        <v/>
      </c>
      <c r="M370" s="26">
        <f>IF(L370=MIN(L369:L371),1,0)</f>
        <v>0</v>
      </c>
    </row>
    <row r="371" ht="15.0" hidden="1" customHeight="1">
      <c r="A371" s="17" t="s">
        <v>59</v>
      </c>
      <c r="B371" s="28">
        <v>4.0</v>
      </c>
      <c r="C371" s="29" t="s">
        <v>248</v>
      </c>
      <c r="D371" s="21"/>
      <c r="E371" s="21"/>
      <c r="F371" s="30">
        <v>454.0</v>
      </c>
      <c r="G371" s="30">
        <v>1000.0</v>
      </c>
      <c r="H371" s="23"/>
      <c r="I371" s="31"/>
      <c r="J371" s="31"/>
      <c r="K371" s="25">
        <f t="shared" si="1"/>
        <v>0</v>
      </c>
      <c r="L371" s="25" t="str">
        <f>IF(I371=0,"",I371/F371*G371*LOOKUP(B371,L!A:A,L!C:C))</f>
        <v/>
      </c>
      <c r="M371" s="26">
        <f>IF(L371=MIN(L369:L371),1,0)</f>
        <v>0</v>
      </c>
    </row>
    <row r="372" ht="15.0" hidden="1" customHeight="1">
      <c r="A372" s="17" t="s">
        <v>59</v>
      </c>
      <c r="B372" s="18">
        <v>1.0</v>
      </c>
      <c r="C372" s="19" t="s">
        <v>249</v>
      </c>
      <c r="D372" s="21"/>
      <c r="E372" s="21"/>
      <c r="F372" s="38">
        <v>500.0</v>
      </c>
      <c r="G372" s="22">
        <v>1000.0</v>
      </c>
      <c r="H372" s="23"/>
      <c r="I372" s="24"/>
      <c r="J372" s="24"/>
      <c r="K372" s="25">
        <f t="shared" si="1"/>
        <v>0</v>
      </c>
      <c r="L372" s="25" t="str">
        <f>IF(I372=0,"",I372/F372*G372*LOOKUP(B372,L!A:A,L!C:C))</f>
        <v/>
      </c>
      <c r="M372" s="26">
        <f>IF(L372=MIN(L372:L374),1,0)</f>
        <v>0</v>
      </c>
    </row>
    <row r="373" ht="15.0" hidden="1" customHeight="1">
      <c r="A373" s="27" t="s">
        <v>59</v>
      </c>
      <c r="B373" s="28">
        <v>2.0</v>
      </c>
      <c r="C373" s="29" t="s">
        <v>249</v>
      </c>
      <c r="D373" s="21"/>
      <c r="E373" s="21"/>
      <c r="F373" s="30">
        <v>350.0</v>
      </c>
      <c r="G373" s="30">
        <v>1000.0</v>
      </c>
      <c r="H373" s="23"/>
      <c r="I373" s="36"/>
      <c r="J373" s="36"/>
      <c r="K373" s="25">
        <f t="shared" si="1"/>
        <v>0</v>
      </c>
      <c r="L373" s="25" t="str">
        <f>IF(I373=0,"",I373/F373*G373*LOOKUP(B373,L!A:A,L!C:C))</f>
        <v/>
      </c>
      <c r="M373" s="26">
        <f>IF(L373=MIN(L372:L374),1,0)</f>
        <v>0</v>
      </c>
    </row>
    <row r="374" ht="15.0" hidden="1" customHeight="1">
      <c r="A374" s="17" t="s">
        <v>59</v>
      </c>
      <c r="B374" s="28">
        <v>4.0</v>
      </c>
      <c r="C374" s="29" t="s">
        <v>249</v>
      </c>
      <c r="D374" s="21"/>
      <c r="E374" s="21"/>
      <c r="F374" s="30"/>
      <c r="G374" s="30">
        <v>1000.0</v>
      </c>
      <c r="H374" s="35"/>
      <c r="I374" s="36"/>
      <c r="J374" s="36"/>
      <c r="K374" s="25">
        <f t="shared" si="1"/>
        <v>0</v>
      </c>
      <c r="L374" s="25" t="str">
        <f>IF(I374=0,"",I374/F374*G374*LOOKUP(B374,L!A:A,L!C:C))</f>
        <v/>
      </c>
      <c r="M374" s="26">
        <f>IF(L374=MIN(L372:L374),1,0)</f>
        <v>0</v>
      </c>
    </row>
    <row r="375" ht="15.0" hidden="1" customHeight="1">
      <c r="A375" s="17" t="s">
        <v>115</v>
      </c>
      <c r="B375" s="18">
        <v>1.0</v>
      </c>
      <c r="C375" s="19" t="s">
        <v>250</v>
      </c>
      <c r="D375" s="21"/>
      <c r="E375" s="21"/>
      <c r="F375" s="22">
        <v>1000.0</v>
      </c>
      <c r="G375" s="22">
        <v>1000.0</v>
      </c>
      <c r="H375" s="35"/>
      <c r="I375" s="34"/>
      <c r="J375" s="34"/>
      <c r="K375" s="25">
        <f t="shared" si="1"/>
        <v>0</v>
      </c>
      <c r="L375" s="25" t="str">
        <f>IF(I375=0,"",I375/F375*G375*LOOKUP(B375,L!A:A,L!C:C))</f>
        <v/>
      </c>
      <c r="M375" s="26">
        <f>IF(L375=MIN(L375:L377),1,0)</f>
        <v>0</v>
      </c>
    </row>
    <row r="376" ht="15.0" hidden="1" customHeight="1">
      <c r="A376" s="27" t="s">
        <v>115</v>
      </c>
      <c r="B376" s="28">
        <v>2.0</v>
      </c>
      <c r="C376" s="29" t="s">
        <v>250</v>
      </c>
      <c r="D376" s="21"/>
      <c r="E376" s="21"/>
      <c r="F376" s="30">
        <v>1000.0</v>
      </c>
      <c r="G376" s="30">
        <v>1000.0</v>
      </c>
      <c r="H376" s="35"/>
      <c r="I376" s="36"/>
      <c r="J376" s="36"/>
      <c r="K376" s="25">
        <f t="shared" si="1"/>
        <v>0</v>
      </c>
      <c r="L376" s="25" t="str">
        <f>IF(I376=0,"",I376/F376*G376*LOOKUP(B376,L!A:A,L!C:C))</f>
        <v/>
      </c>
      <c r="M376" s="26">
        <f>IF(L376=MIN(L375:L377),1,0)</f>
        <v>0</v>
      </c>
    </row>
    <row r="377" ht="15.0" hidden="1" customHeight="1">
      <c r="A377" s="17" t="s">
        <v>115</v>
      </c>
      <c r="B377" s="28">
        <v>5.0</v>
      </c>
      <c r="C377" s="29" t="s">
        <v>250</v>
      </c>
      <c r="D377" s="21"/>
      <c r="E377" s="21"/>
      <c r="F377" s="30">
        <v>1000.0</v>
      </c>
      <c r="G377" s="30">
        <v>1000.0</v>
      </c>
      <c r="H377" s="35"/>
      <c r="I377" s="36"/>
      <c r="J377" s="36"/>
      <c r="K377" s="25">
        <f t="shared" si="1"/>
        <v>0</v>
      </c>
      <c r="L377" s="25" t="str">
        <f>IF(I377=0,"",I377/F377*G377*LOOKUP(B377,L!A:A,L!C:C))</f>
        <v/>
      </c>
      <c r="M377" s="26">
        <f>IF(L377=MIN(L375:L377),1,0)</f>
        <v>0</v>
      </c>
    </row>
    <row r="378" ht="15.0" hidden="1" customHeight="1">
      <c r="A378" s="33" t="s">
        <v>65</v>
      </c>
      <c r="B378" s="18">
        <v>1.0</v>
      </c>
      <c r="C378" s="29" t="s">
        <v>251</v>
      </c>
      <c r="D378" s="21"/>
      <c r="E378" s="21"/>
      <c r="F378" s="22">
        <v>1000.0</v>
      </c>
      <c r="G378" s="22">
        <v>1000.0</v>
      </c>
      <c r="H378" s="23"/>
      <c r="I378" s="24">
        <v>919.0</v>
      </c>
      <c r="J378" s="24"/>
      <c r="K378" s="25">
        <f t="shared" si="1"/>
        <v>0</v>
      </c>
      <c r="L378" s="25">
        <f>IF(I378=0,"",I378/F378*G378*LOOKUP(B378,L!A:A,L!C:C))</f>
        <v>597.35</v>
      </c>
      <c r="M378" s="26">
        <f>IF(L378=MIN(L378:L380),1,0)</f>
        <v>1</v>
      </c>
    </row>
    <row r="379" ht="15.0" hidden="1" customHeight="1">
      <c r="A379" s="33" t="s">
        <v>65</v>
      </c>
      <c r="B379" s="28">
        <v>2.0</v>
      </c>
      <c r="C379" s="29" t="s">
        <v>251</v>
      </c>
      <c r="D379" s="21"/>
      <c r="E379" s="21"/>
      <c r="F379" s="30">
        <v>1000.0</v>
      </c>
      <c r="G379" s="30">
        <v>1000.0</v>
      </c>
      <c r="H379" s="23"/>
      <c r="I379" s="36"/>
      <c r="J379" s="36"/>
      <c r="K379" s="25">
        <f t="shared" si="1"/>
        <v>0</v>
      </c>
      <c r="L379" s="25" t="str">
        <f>IF(I379=0,"",I379/F379*G379*LOOKUP(B379,L!A:A,L!C:C))</f>
        <v/>
      </c>
      <c r="M379" s="26">
        <f>IF(L379=MIN(L378:L380),1,0)</f>
        <v>0</v>
      </c>
    </row>
    <row r="380" ht="15.0" hidden="1" customHeight="1">
      <c r="A380" s="33" t="s">
        <v>65</v>
      </c>
      <c r="B380" s="28">
        <v>4.0</v>
      </c>
      <c r="C380" s="29" t="s">
        <v>251</v>
      </c>
      <c r="D380" s="21"/>
      <c r="E380" s="21"/>
      <c r="F380" s="30"/>
      <c r="G380" s="30">
        <v>1000.0</v>
      </c>
      <c r="H380" s="35"/>
      <c r="I380" s="36"/>
      <c r="J380" s="36"/>
      <c r="K380" s="25">
        <f t="shared" si="1"/>
        <v>0</v>
      </c>
      <c r="L380" s="25" t="str">
        <f>IF(I380=0,"",I380/F380*G380*LOOKUP(B380,L!A:A,L!C:C))</f>
        <v/>
      </c>
      <c r="M380" s="26">
        <f>IF(L380=MIN(L378:L380),1,0)</f>
        <v>0</v>
      </c>
    </row>
    <row r="381" ht="15.0" hidden="1" customHeight="1">
      <c r="A381" s="17" t="s">
        <v>115</v>
      </c>
      <c r="B381" s="18">
        <v>1.0</v>
      </c>
      <c r="C381" s="19" t="s">
        <v>252</v>
      </c>
      <c r="D381" s="21"/>
      <c r="E381" s="21"/>
      <c r="F381" s="22">
        <v>1000.0</v>
      </c>
      <c r="G381" s="22">
        <v>1000.0</v>
      </c>
      <c r="H381" s="23"/>
      <c r="I381" s="24">
        <v>11122.0</v>
      </c>
      <c r="J381" s="34"/>
      <c r="K381" s="25">
        <f t="shared" si="1"/>
        <v>0</v>
      </c>
      <c r="L381" s="25">
        <f>IF(I381=0,"",I381/F381*G381*LOOKUP(B381,L!A:A,L!C:C))</f>
        <v>7229.3</v>
      </c>
      <c r="M381" s="26">
        <f>IF(L381=MIN(L381:L383),1,0)</f>
        <v>1</v>
      </c>
    </row>
    <row r="382" ht="15.0" hidden="1" customHeight="1">
      <c r="A382" s="17" t="s">
        <v>115</v>
      </c>
      <c r="B382" s="28">
        <v>4.0</v>
      </c>
      <c r="C382" s="19" t="s">
        <v>252</v>
      </c>
      <c r="D382" s="21"/>
      <c r="E382" s="21"/>
      <c r="F382" s="22">
        <v>1000.0</v>
      </c>
      <c r="G382" s="30">
        <v>1000.0</v>
      </c>
      <c r="H382" s="35"/>
      <c r="I382" s="31"/>
      <c r="J382" s="36"/>
      <c r="K382" s="25">
        <f t="shared" si="1"/>
        <v>0</v>
      </c>
      <c r="L382" s="25" t="str">
        <f>IF(I382=0,"",I382/F382*G382*LOOKUP(B382,L!A:A,L!C:C))</f>
        <v/>
      </c>
      <c r="M382" s="26">
        <f>IF(L382=MIN(L381:L383),1,0)</f>
        <v>0</v>
      </c>
    </row>
    <row r="383" ht="15.0" hidden="1" customHeight="1">
      <c r="A383" s="17" t="s">
        <v>115</v>
      </c>
      <c r="B383" s="28">
        <v>2.0</v>
      </c>
      <c r="C383" s="19" t="s">
        <v>252</v>
      </c>
      <c r="D383" s="21"/>
      <c r="E383" s="21"/>
      <c r="F383" s="22">
        <v>1000.0</v>
      </c>
      <c r="G383" s="30">
        <v>1000.0</v>
      </c>
      <c r="H383" s="35"/>
      <c r="I383" s="31">
        <v>16990.0</v>
      </c>
      <c r="J383" s="31"/>
      <c r="K383" s="25">
        <f t="shared" si="1"/>
        <v>0</v>
      </c>
      <c r="L383" s="25">
        <f>IF(I383=0,"",I383/F383*G383*LOOKUP(B383,L!A:A,L!C:C))</f>
        <v>12742.5</v>
      </c>
      <c r="M383" s="26">
        <f>IF(L383=MIN(L381:L383),1,0)</f>
        <v>0</v>
      </c>
    </row>
    <row r="384" ht="15.0" hidden="1" customHeight="1">
      <c r="A384" s="17" t="s">
        <v>41</v>
      </c>
      <c r="B384" s="18">
        <v>1.0</v>
      </c>
      <c r="C384" s="19" t="s">
        <v>253</v>
      </c>
      <c r="D384" s="21"/>
      <c r="E384" s="21"/>
      <c r="F384" s="22">
        <v>25.0</v>
      </c>
      <c r="G384" s="22">
        <v>1000.0</v>
      </c>
      <c r="H384" s="35"/>
      <c r="I384" s="34"/>
      <c r="J384" s="34"/>
      <c r="K384" s="25">
        <f t="shared" si="1"/>
        <v>0</v>
      </c>
      <c r="L384" s="25" t="str">
        <f>IF(I384=0,"",I384/F384*G384*LOOKUP(B384,L!A:A,L!C:C))</f>
        <v/>
      </c>
      <c r="M384" s="26">
        <f>IF(L384=MIN(L384:L386),1,0)</f>
        <v>0</v>
      </c>
    </row>
    <row r="385" ht="15.0" hidden="1" customHeight="1">
      <c r="A385" s="27" t="s">
        <v>41</v>
      </c>
      <c r="B385" s="28">
        <v>2.0</v>
      </c>
      <c r="C385" s="29" t="s">
        <v>253</v>
      </c>
      <c r="D385" s="21"/>
      <c r="E385" s="21"/>
      <c r="F385" s="30"/>
      <c r="G385" s="30">
        <v>1000.0</v>
      </c>
      <c r="H385" s="35"/>
      <c r="I385" s="36"/>
      <c r="J385" s="36"/>
      <c r="K385" s="25">
        <f t="shared" si="1"/>
        <v>0</v>
      </c>
      <c r="L385" s="25" t="str">
        <f>IF(I385=0,"",I385/F385*G385*LOOKUP(B385,L!A:A,L!C:C))</f>
        <v/>
      </c>
      <c r="M385" s="26">
        <f>IF(L385=MIN(L384:L386),1,0)</f>
        <v>0</v>
      </c>
    </row>
    <row r="386" ht="15.0" hidden="1" customHeight="1">
      <c r="A386" s="17" t="s">
        <v>41</v>
      </c>
      <c r="B386" s="28">
        <v>4.0</v>
      </c>
      <c r="C386" s="29" t="s">
        <v>253</v>
      </c>
      <c r="D386" s="21"/>
      <c r="E386" s="21"/>
      <c r="F386" s="30"/>
      <c r="G386" s="30">
        <v>1000.0</v>
      </c>
      <c r="H386" s="35"/>
      <c r="I386" s="36"/>
      <c r="J386" s="36"/>
      <c r="K386" s="25">
        <f t="shared" si="1"/>
        <v>0</v>
      </c>
      <c r="L386" s="25" t="str">
        <f>IF(I386=0,"",I386/F386*G386*LOOKUP(B386,L!A:A,L!C:C))</f>
        <v/>
      </c>
      <c r="M386" s="26">
        <f>IF(L386=MIN(L384:L386),1,0)</f>
        <v>0</v>
      </c>
    </row>
    <row r="387" ht="15.0" hidden="1" customHeight="1">
      <c r="A387" s="17" t="s">
        <v>145</v>
      </c>
      <c r="B387" s="18">
        <v>1.0</v>
      </c>
      <c r="C387" s="37" t="s">
        <v>184</v>
      </c>
      <c r="D387" s="19"/>
      <c r="E387" s="19" t="s">
        <v>254</v>
      </c>
      <c r="F387" s="38">
        <v>50.0</v>
      </c>
      <c r="G387" s="22">
        <v>1000.0</v>
      </c>
      <c r="H387" s="23"/>
      <c r="I387" s="24">
        <v>805.0</v>
      </c>
      <c r="J387" s="24"/>
      <c r="K387" s="25">
        <f t="shared" si="1"/>
        <v>0</v>
      </c>
      <c r="L387" s="25">
        <f>IF(I387=0,"",I387/F387*G387*LOOKUP(B387,L!A:A,L!C:C))</f>
        <v>10465</v>
      </c>
      <c r="M387" s="26">
        <f>IF(L387=MIN(L387:L389),1,0)</f>
        <v>1</v>
      </c>
    </row>
    <row r="388" ht="15.0" hidden="1" customHeight="1">
      <c r="A388" s="27" t="s">
        <v>145</v>
      </c>
      <c r="B388" s="28">
        <v>2.0</v>
      </c>
      <c r="C388" s="37" t="s">
        <v>184</v>
      </c>
      <c r="D388" s="29"/>
      <c r="E388" s="29" t="s">
        <v>254</v>
      </c>
      <c r="F388" s="30">
        <v>220.0</v>
      </c>
      <c r="G388" s="30">
        <v>1000.0</v>
      </c>
      <c r="H388" s="35"/>
      <c r="I388" s="36"/>
      <c r="J388" s="36"/>
      <c r="K388" s="25">
        <f t="shared" si="1"/>
        <v>0</v>
      </c>
      <c r="L388" s="25" t="str">
        <f>IF(I388=0,"",I388/F388*G388*LOOKUP(B388,L!A:A,L!C:C))</f>
        <v/>
      </c>
      <c r="M388" s="26">
        <f>IF(L388=MIN(L387:L389),1,0)</f>
        <v>0</v>
      </c>
    </row>
    <row r="389" ht="15.0" hidden="1" customHeight="1">
      <c r="A389" s="17" t="s">
        <v>145</v>
      </c>
      <c r="B389" s="28">
        <v>4.0</v>
      </c>
      <c r="C389" s="37" t="s">
        <v>184</v>
      </c>
      <c r="D389" s="29"/>
      <c r="E389" s="29" t="s">
        <v>254</v>
      </c>
      <c r="F389" s="30"/>
      <c r="G389" s="30">
        <v>1000.0</v>
      </c>
      <c r="H389" s="35"/>
      <c r="I389" s="36"/>
      <c r="J389" s="36"/>
      <c r="K389" s="25">
        <f t="shared" si="1"/>
        <v>0</v>
      </c>
      <c r="L389" s="25" t="str">
        <f>IF(I389=0,"",I389/F389*G389*LOOKUP(B389,L!A:A,L!C:C))</f>
        <v/>
      </c>
      <c r="M389" s="26">
        <f>IF(L389=MIN(L387:L389),1,0)</f>
        <v>0</v>
      </c>
    </row>
    <row r="390" ht="15.0" customHeight="1">
      <c r="A390" s="17" t="s">
        <v>145</v>
      </c>
      <c r="B390" s="18">
        <v>1.0</v>
      </c>
      <c r="C390" s="37" t="s">
        <v>255</v>
      </c>
      <c r="D390" s="37"/>
      <c r="E390" s="37" t="s">
        <v>256</v>
      </c>
      <c r="F390" s="38">
        <v>354.0</v>
      </c>
      <c r="G390" s="22">
        <v>1000.0</v>
      </c>
      <c r="H390" s="23">
        <v>0.0</v>
      </c>
      <c r="I390" s="24">
        <v>6877.49</v>
      </c>
      <c r="J390" s="24"/>
      <c r="K390" s="25">
        <f t="shared" si="1"/>
        <v>0</v>
      </c>
      <c r="L390" s="25">
        <f>IF(I390=0,"",I390/F390*G390*LOOKUP(B390,L!A:A,L!C:C))</f>
        <v>12628.1596</v>
      </c>
      <c r="M390" s="26">
        <f>IF(L390=MIN(L390:L392),1,0)</f>
        <v>0</v>
      </c>
    </row>
    <row r="391" ht="15.0" hidden="1" customHeight="1">
      <c r="A391" s="27" t="s">
        <v>145</v>
      </c>
      <c r="B391" s="28">
        <v>2.0</v>
      </c>
      <c r="C391" s="37" t="s">
        <v>255</v>
      </c>
      <c r="D391" s="29"/>
      <c r="E391" s="29" t="s">
        <v>256</v>
      </c>
      <c r="F391" s="32">
        <v>330.0</v>
      </c>
      <c r="G391" s="30">
        <v>1000.0</v>
      </c>
      <c r="H391" s="23"/>
      <c r="I391" s="31">
        <v>3600.0</v>
      </c>
      <c r="J391" s="31"/>
      <c r="K391" s="25">
        <f t="shared" si="1"/>
        <v>0</v>
      </c>
      <c r="L391" s="25">
        <f>IF(I391=0,"",I391/F391*G391*LOOKUP(B391,L!A:A,L!C:C))</f>
        <v>8181.818182</v>
      </c>
      <c r="M391" s="26">
        <f>IF(L391=MIN(L390:L392),1,0)</f>
        <v>1</v>
      </c>
    </row>
    <row r="392" ht="15.0" hidden="1" customHeight="1">
      <c r="A392" s="17" t="s">
        <v>145</v>
      </c>
      <c r="B392" s="28">
        <v>4.0</v>
      </c>
      <c r="C392" s="37" t="s">
        <v>255</v>
      </c>
      <c r="D392" s="29"/>
      <c r="E392" s="39" t="s">
        <v>257</v>
      </c>
      <c r="F392" s="32">
        <v>330.0</v>
      </c>
      <c r="G392" s="30">
        <v>1000.0</v>
      </c>
      <c r="H392" s="23"/>
      <c r="I392" s="31">
        <v>2895.0</v>
      </c>
      <c r="J392" s="31"/>
      <c r="K392" s="25">
        <f t="shared" si="1"/>
        <v>0</v>
      </c>
      <c r="L392" s="25">
        <f>IF(I392=0,"",I392/F392*G392*LOOKUP(B392,L!A:A,L!C:C))</f>
        <v>8772.727273</v>
      </c>
      <c r="M392" s="26">
        <f>IF(L392=MIN(L390:L392),1,0)</f>
        <v>0</v>
      </c>
    </row>
    <row r="393" ht="15.0" hidden="1" customHeight="1">
      <c r="A393" s="17" t="s">
        <v>68</v>
      </c>
      <c r="B393" s="18">
        <v>1.0</v>
      </c>
      <c r="C393" s="19" t="s">
        <v>258</v>
      </c>
      <c r="D393" s="21"/>
      <c r="E393" s="21"/>
      <c r="F393" s="38">
        <v>1.0</v>
      </c>
      <c r="G393" s="22">
        <v>1.0</v>
      </c>
      <c r="H393" s="23"/>
      <c r="I393" s="24">
        <v>646.0</v>
      </c>
      <c r="J393" s="34"/>
      <c r="K393" s="25">
        <f t="shared" si="1"/>
        <v>0</v>
      </c>
      <c r="L393" s="25">
        <f>IF(I393=0,"",I393/F393*G393*LOOKUP(B393,L!A:A,L!C:C))</f>
        <v>419.9</v>
      </c>
      <c r="M393" s="26">
        <f>IF(L393=MIN(L393:L395),1,0)</f>
        <v>1</v>
      </c>
    </row>
    <row r="394" ht="15.0" hidden="1" customHeight="1">
      <c r="A394" s="27" t="s">
        <v>68</v>
      </c>
      <c r="B394" s="28">
        <v>2.0</v>
      </c>
      <c r="C394" s="29" t="s">
        <v>258</v>
      </c>
      <c r="D394" s="21"/>
      <c r="E394" s="21"/>
      <c r="F394" s="30"/>
      <c r="G394" s="30">
        <v>1.0</v>
      </c>
      <c r="H394" s="35"/>
      <c r="I394" s="36"/>
      <c r="J394" s="36"/>
      <c r="K394" s="25">
        <f t="shared" si="1"/>
        <v>0</v>
      </c>
      <c r="L394" s="25" t="str">
        <f>IF(I394=0,"",I394/F394*G394*LOOKUP(B394,L!A:A,L!C:C))</f>
        <v/>
      </c>
      <c r="M394" s="26">
        <f>IF(L394=MIN(L393:L395),1,0)</f>
        <v>0</v>
      </c>
    </row>
    <row r="395" ht="15.0" hidden="1" customHeight="1">
      <c r="A395" s="17" t="s">
        <v>68</v>
      </c>
      <c r="B395" s="28">
        <v>4.0</v>
      </c>
      <c r="C395" s="29" t="s">
        <v>258</v>
      </c>
      <c r="D395" s="21"/>
      <c r="E395" s="21"/>
      <c r="F395" s="30">
        <v>1.0</v>
      </c>
      <c r="G395" s="30">
        <v>1.0</v>
      </c>
      <c r="H395" s="35"/>
      <c r="I395" s="36"/>
      <c r="J395" s="36"/>
      <c r="K395" s="25">
        <f t="shared" si="1"/>
        <v>0</v>
      </c>
      <c r="L395" s="25" t="str">
        <f>IF(I395=0,"",I395/F395*G395*LOOKUP(B395,L!A:A,L!C:C))</f>
        <v/>
      </c>
      <c r="M395" s="26">
        <f>IF(L395=MIN(L393:L395),1,0)</f>
        <v>0</v>
      </c>
    </row>
    <row r="396" ht="15.0" hidden="1" customHeight="1">
      <c r="A396" s="17" t="s">
        <v>89</v>
      </c>
      <c r="B396" s="18">
        <v>1.0</v>
      </c>
      <c r="C396" s="19" t="s">
        <v>259</v>
      </c>
      <c r="D396" s="21"/>
      <c r="E396" s="21"/>
      <c r="F396" s="22"/>
      <c r="G396" s="22">
        <v>1000.0</v>
      </c>
      <c r="H396" s="35"/>
      <c r="I396" s="34"/>
      <c r="J396" s="34"/>
      <c r="K396" s="25">
        <f t="shared" si="1"/>
        <v>0</v>
      </c>
      <c r="L396" s="25" t="str">
        <f>IF(I396=0,"",I396/F396*G396*LOOKUP(B396,L!A:A,L!C:C))</f>
        <v/>
      </c>
      <c r="M396" s="26">
        <f>IF(L396=MIN(L396:L398),1,0)</f>
        <v>0</v>
      </c>
    </row>
    <row r="397" ht="15.0" hidden="1" customHeight="1">
      <c r="A397" s="27" t="s">
        <v>89</v>
      </c>
      <c r="B397" s="28">
        <v>2.0</v>
      </c>
      <c r="C397" s="29" t="s">
        <v>259</v>
      </c>
      <c r="D397" s="20"/>
      <c r="E397" s="20" t="s">
        <v>260</v>
      </c>
      <c r="F397" s="30"/>
      <c r="G397" s="30">
        <v>1000.0</v>
      </c>
      <c r="H397" s="23"/>
      <c r="I397" s="36"/>
      <c r="J397" s="36"/>
      <c r="K397" s="25">
        <f t="shared" si="1"/>
        <v>0</v>
      </c>
      <c r="L397" s="25" t="str">
        <f>IF(I397=0,"",I397/F397*G397*LOOKUP(B397,L!A:A,L!C:C))</f>
        <v/>
      </c>
      <c r="M397" s="26">
        <f>IF(L397=MIN(L396:L398),1,0)</f>
        <v>0</v>
      </c>
    </row>
    <row r="398" ht="15.0" hidden="1" customHeight="1">
      <c r="A398" s="17" t="s">
        <v>89</v>
      </c>
      <c r="B398" s="28">
        <v>4.0</v>
      </c>
      <c r="C398" s="29" t="s">
        <v>259</v>
      </c>
      <c r="D398" s="21"/>
      <c r="E398" s="21"/>
      <c r="F398" s="30"/>
      <c r="G398" s="30">
        <v>1000.0</v>
      </c>
      <c r="H398" s="35"/>
      <c r="I398" s="36"/>
      <c r="J398" s="36"/>
      <c r="K398" s="25">
        <f t="shared" si="1"/>
        <v>0</v>
      </c>
      <c r="L398" s="25" t="str">
        <f>IF(I398=0,"",I398/F398*G398*LOOKUP(B398,L!A:A,L!C:C))</f>
        <v/>
      </c>
      <c r="M398" s="26">
        <f>IF(L398=MIN(L396:L398),1,0)</f>
        <v>0</v>
      </c>
    </row>
    <row r="399" ht="15.0" hidden="1" customHeight="1">
      <c r="A399" s="27" t="s">
        <v>55</v>
      </c>
      <c r="B399" s="18">
        <v>1.0</v>
      </c>
      <c r="C399" s="29" t="s">
        <v>261</v>
      </c>
      <c r="D399" s="21"/>
      <c r="E399" s="21"/>
      <c r="F399" s="22">
        <v>1000.0</v>
      </c>
      <c r="G399" s="22">
        <v>1000.0</v>
      </c>
      <c r="H399" s="23"/>
      <c r="I399" s="24"/>
      <c r="J399" s="24"/>
      <c r="K399" s="25">
        <f t="shared" si="1"/>
        <v>0</v>
      </c>
      <c r="L399" s="25" t="str">
        <f>IF(I399=0,"",I399/F399*G399*LOOKUP(B399,L!A:A,L!C:C))</f>
        <v/>
      </c>
      <c r="M399" s="26">
        <f>IF(L399=MIN(L399:L401),1,0)</f>
        <v>0</v>
      </c>
    </row>
    <row r="400" ht="15.0" hidden="1" customHeight="1">
      <c r="A400" s="27" t="s">
        <v>55</v>
      </c>
      <c r="B400" s="28">
        <v>2.0</v>
      </c>
      <c r="C400" s="29" t="s">
        <v>261</v>
      </c>
      <c r="D400" s="21"/>
      <c r="E400" s="21"/>
      <c r="F400" s="32">
        <v>125.0</v>
      </c>
      <c r="G400" s="30">
        <v>1000.0</v>
      </c>
      <c r="H400" s="23"/>
      <c r="I400" s="31">
        <f>1190*0.8</f>
        <v>952</v>
      </c>
      <c r="J400" s="31"/>
      <c r="K400" s="25">
        <f t="shared" si="1"/>
        <v>0</v>
      </c>
      <c r="L400" s="25">
        <f>IF(I400=0,"",I400/F400*G400*LOOKUP(B400,L!A:A,L!C:C))</f>
        <v>5712</v>
      </c>
      <c r="M400" s="26">
        <f>IF(L400=MIN(L399:L401),1,0)</f>
        <v>1</v>
      </c>
    </row>
    <row r="401" ht="15.0" hidden="1" customHeight="1">
      <c r="A401" s="17" t="s">
        <v>55</v>
      </c>
      <c r="B401" s="28">
        <v>4.0</v>
      </c>
      <c r="C401" s="29" t="s">
        <v>261</v>
      </c>
      <c r="D401" s="21"/>
      <c r="E401" s="21"/>
      <c r="F401" s="32">
        <v>1000.0</v>
      </c>
      <c r="G401" s="30">
        <v>1000.0</v>
      </c>
      <c r="H401" s="23"/>
      <c r="I401" s="31"/>
      <c r="J401" s="31"/>
      <c r="K401" s="25">
        <f t="shared" si="1"/>
        <v>0</v>
      </c>
      <c r="L401" s="25" t="str">
        <f>IF(I401=0,"",I401/F401*G401*LOOKUP(B401,L!A:A,L!C:C))</f>
        <v/>
      </c>
      <c r="M401" s="26">
        <f>IF(L401=MIN(L399:L401),1,0)</f>
        <v>0</v>
      </c>
    </row>
    <row r="402" ht="15.0" customHeight="1">
      <c r="A402" s="33" t="s">
        <v>46</v>
      </c>
      <c r="B402" s="18">
        <v>1.0</v>
      </c>
      <c r="C402" s="29" t="s">
        <v>262</v>
      </c>
      <c r="D402" s="21"/>
      <c r="E402" s="21"/>
      <c r="F402" s="22">
        <v>1000.0</v>
      </c>
      <c r="G402" s="22">
        <v>1000.0</v>
      </c>
      <c r="H402" s="23">
        <v>0.0</v>
      </c>
      <c r="I402" s="24">
        <v>1792.0</v>
      </c>
      <c r="J402" s="24"/>
      <c r="K402" s="25">
        <f t="shared" si="1"/>
        <v>0</v>
      </c>
      <c r="L402" s="25">
        <f>IF(I402=0,"",I402/F402*G402*LOOKUP(B402,L!A:A,L!C:C))</f>
        <v>1164.8</v>
      </c>
      <c r="M402" s="26">
        <f>IF(L402=MIN(L402:L404),1,0)</f>
        <v>1</v>
      </c>
    </row>
    <row r="403" ht="15.0" hidden="1" customHeight="1">
      <c r="A403" s="33" t="s">
        <v>46</v>
      </c>
      <c r="B403" s="28">
        <v>2.0</v>
      </c>
      <c r="C403" s="29" t="s">
        <v>262</v>
      </c>
      <c r="D403" s="21"/>
      <c r="E403" s="21"/>
      <c r="F403" s="30">
        <v>1000.0</v>
      </c>
      <c r="G403" s="30">
        <v>1000.0</v>
      </c>
      <c r="H403" s="23"/>
      <c r="I403" s="31">
        <v>1990.0</v>
      </c>
      <c r="J403" s="31"/>
      <c r="K403" s="25">
        <f t="shared" si="1"/>
        <v>0</v>
      </c>
      <c r="L403" s="25">
        <f>IF(I403=0,"",I403/F403*G403*LOOKUP(B403,L!A:A,L!C:C))</f>
        <v>1492.5</v>
      </c>
      <c r="M403" s="26">
        <f>IF(L403=MIN(L402:L404),1,0)</f>
        <v>0</v>
      </c>
    </row>
    <row r="404" ht="15.0" hidden="1" customHeight="1">
      <c r="A404" s="33" t="s">
        <v>46</v>
      </c>
      <c r="B404" s="28">
        <v>2.0</v>
      </c>
      <c r="C404" s="29" t="s">
        <v>262</v>
      </c>
      <c r="D404" s="21"/>
      <c r="E404" s="21"/>
      <c r="F404" s="30">
        <v>1000.0</v>
      </c>
      <c r="G404" s="30">
        <v>1000.0</v>
      </c>
      <c r="H404" s="23"/>
      <c r="I404" s="31">
        <v>1699.15</v>
      </c>
      <c r="J404" s="31"/>
      <c r="K404" s="25">
        <f t="shared" si="1"/>
        <v>0</v>
      </c>
      <c r="L404" s="25">
        <f>IF(I404=0,"",I404/F404*G404*LOOKUP(B404,L!A:A,L!C:C))</f>
        <v>1274.3625</v>
      </c>
      <c r="M404" s="26">
        <f>IF(L404=MIN(L402:L404),1,0)</f>
        <v>0</v>
      </c>
    </row>
    <row r="405" ht="15.0" customHeight="1">
      <c r="A405" s="27" t="s">
        <v>57</v>
      </c>
      <c r="B405" s="18">
        <v>1.0</v>
      </c>
      <c r="C405" s="37" t="s">
        <v>263</v>
      </c>
      <c r="D405" s="21"/>
      <c r="E405" s="21"/>
      <c r="F405" s="38">
        <v>120.0</v>
      </c>
      <c r="G405" s="22">
        <v>1000.0</v>
      </c>
      <c r="H405" s="23">
        <v>0.0</v>
      </c>
      <c r="I405" s="24">
        <v>3200.25</v>
      </c>
      <c r="J405" s="24"/>
      <c r="K405" s="25">
        <f t="shared" si="1"/>
        <v>0</v>
      </c>
      <c r="L405" s="25">
        <f>IF(I405=0,"",I405/F405*G405*LOOKUP(B405,L!A:A,L!C:C))</f>
        <v>17334.6875</v>
      </c>
      <c r="M405" s="26">
        <f>IF(L405=MIN(L405:L407),1,0)</f>
        <v>0</v>
      </c>
    </row>
    <row r="406" ht="15.0" hidden="1" customHeight="1">
      <c r="A406" s="27" t="s">
        <v>57</v>
      </c>
      <c r="B406" s="28">
        <v>2.0</v>
      </c>
      <c r="C406" s="37" t="s">
        <v>263</v>
      </c>
      <c r="D406" s="21"/>
      <c r="E406" s="21"/>
      <c r="F406" s="32">
        <v>320.0</v>
      </c>
      <c r="G406" s="30">
        <v>1000.0</v>
      </c>
      <c r="H406" s="23"/>
      <c r="I406" s="31">
        <v>4237.5</v>
      </c>
      <c r="J406" s="31"/>
      <c r="K406" s="25">
        <f t="shared" si="1"/>
        <v>0</v>
      </c>
      <c r="L406" s="25">
        <f>IF(I406=0,"",I406/F406*G406*LOOKUP(B406,L!A:A,L!C:C))</f>
        <v>9931.640625</v>
      </c>
      <c r="M406" s="26">
        <f>IF(L406=MIN(L405:L407),1,0)</f>
        <v>1</v>
      </c>
    </row>
    <row r="407" ht="15.0" hidden="1" customHeight="1">
      <c r="A407" s="17" t="s">
        <v>57</v>
      </c>
      <c r="B407" s="28">
        <v>3.0</v>
      </c>
      <c r="C407" s="37" t="s">
        <v>263</v>
      </c>
      <c r="D407" s="21"/>
      <c r="E407" s="21" t="s">
        <v>264</v>
      </c>
      <c r="F407" s="30">
        <v>120.0</v>
      </c>
      <c r="G407" s="30">
        <v>1000.0</v>
      </c>
      <c r="H407" s="23"/>
      <c r="I407" s="31">
        <v>4299.0</v>
      </c>
      <c r="J407" s="31"/>
      <c r="K407" s="25">
        <f t="shared" si="1"/>
        <v>0</v>
      </c>
      <c r="L407" s="25">
        <f>IF(I407=0,"",I407/F407*G407*LOOKUP(B407,L!A:A,L!C:C))</f>
        <v>26868.75</v>
      </c>
      <c r="M407" s="26">
        <f>IF(L407=MIN(L405:L407),1,0)</f>
        <v>0</v>
      </c>
    </row>
    <row r="408" ht="15.0" hidden="1" customHeight="1">
      <c r="A408" s="33" t="s">
        <v>65</v>
      </c>
      <c r="B408" s="18">
        <v>1.0</v>
      </c>
      <c r="C408" s="19" t="s">
        <v>265</v>
      </c>
      <c r="D408" s="21"/>
      <c r="E408" s="21"/>
      <c r="F408" s="22">
        <v>1000.0</v>
      </c>
      <c r="G408" s="22">
        <v>1000.0</v>
      </c>
      <c r="H408" s="23"/>
      <c r="I408" s="34"/>
      <c r="J408" s="34"/>
      <c r="K408" s="25">
        <f t="shared" si="1"/>
        <v>0</v>
      </c>
      <c r="L408" s="25" t="str">
        <f>IF(I408=0,"",I408/F408*G408*LOOKUP(B408,L!A:A,L!C:C))</f>
        <v/>
      </c>
      <c r="M408" s="26">
        <f>IF(L408=MIN(L408:L410),1,0)</f>
        <v>0</v>
      </c>
    </row>
    <row r="409" ht="15.0" hidden="1" customHeight="1">
      <c r="A409" s="33" t="s">
        <v>65</v>
      </c>
      <c r="B409" s="28">
        <v>2.0</v>
      </c>
      <c r="C409" s="29" t="s">
        <v>265</v>
      </c>
      <c r="D409" s="21"/>
      <c r="E409" s="21"/>
      <c r="F409" s="30"/>
      <c r="G409" s="30">
        <v>1000.0</v>
      </c>
      <c r="H409" s="35"/>
      <c r="I409" s="36"/>
      <c r="J409" s="36"/>
      <c r="K409" s="25">
        <f t="shared" si="1"/>
        <v>0</v>
      </c>
      <c r="L409" s="25" t="str">
        <f>IF(I409=0,"",I409/F409*G409*LOOKUP(B409,L!A:A,L!C:C))</f>
        <v/>
      </c>
      <c r="M409" s="26">
        <f>IF(L409=MIN(L408:L410),1,0)</f>
        <v>0</v>
      </c>
    </row>
    <row r="410" ht="15.0" hidden="1" customHeight="1">
      <c r="A410" s="33" t="s">
        <v>65</v>
      </c>
      <c r="B410" s="28">
        <v>4.0</v>
      </c>
      <c r="C410" s="29" t="s">
        <v>265</v>
      </c>
      <c r="D410" s="21"/>
      <c r="E410" s="21"/>
      <c r="F410" s="30"/>
      <c r="G410" s="30">
        <v>1000.0</v>
      </c>
      <c r="H410" s="35"/>
      <c r="I410" s="36"/>
      <c r="J410" s="36"/>
      <c r="K410" s="25">
        <f t="shared" si="1"/>
        <v>0</v>
      </c>
      <c r="L410" s="25" t="str">
        <f>IF(I410=0,"",I410/F410*G410*LOOKUP(B410,L!A:A,L!C:C))</f>
        <v/>
      </c>
      <c r="M410" s="26">
        <f>IF(L410=MIN(L408:L410),1,0)</f>
        <v>0</v>
      </c>
    </row>
    <row r="411" ht="15.0" customHeight="1">
      <c r="A411" s="17" t="s">
        <v>59</v>
      </c>
      <c r="B411" s="18">
        <v>1.0</v>
      </c>
      <c r="C411" s="19" t="s">
        <v>266</v>
      </c>
      <c r="D411" s="21"/>
      <c r="E411" s="21"/>
      <c r="F411" s="38">
        <v>350.0</v>
      </c>
      <c r="G411" s="22">
        <v>1000.0</v>
      </c>
      <c r="H411" s="23">
        <v>0.0</v>
      </c>
      <c r="I411" s="24">
        <v>3131.85</v>
      </c>
      <c r="J411" s="24"/>
      <c r="K411" s="25">
        <f t="shared" si="1"/>
        <v>0</v>
      </c>
      <c r="L411" s="25">
        <f>IF(I411=0,"",I411/F411*G411*LOOKUP(B411,L!A:A,L!C:C))</f>
        <v>5816.292857</v>
      </c>
      <c r="M411" s="26">
        <f>IF(L411=MIN(L411:L413),1,0)</f>
        <v>1</v>
      </c>
    </row>
    <row r="412" ht="15.0" hidden="1" customHeight="1">
      <c r="A412" s="27" t="s">
        <v>59</v>
      </c>
      <c r="B412" s="28">
        <v>2.0</v>
      </c>
      <c r="C412" s="29" t="s">
        <v>266</v>
      </c>
      <c r="D412" s="21"/>
      <c r="E412" s="21"/>
      <c r="F412" s="32">
        <v>500.0</v>
      </c>
      <c r="G412" s="30">
        <v>1000.0</v>
      </c>
      <c r="H412" s="23"/>
      <c r="I412" s="31">
        <v>4800.0</v>
      </c>
      <c r="J412" s="31"/>
      <c r="K412" s="25">
        <f t="shared" si="1"/>
        <v>0</v>
      </c>
      <c r="L412" s="25">
        <f>IF(I412=0,"",I412/F412*G412*LOOKUP(B412,L!A:A,L!C:C))</f>
        <v>7200</v>
      </c>
      <c r="M412" s="26">
        <f>IF(L412=MIN(L411:L413),1,0)</f>
        <v>0</v>
      </c>
    </row>
    <row r="413" ht="15.0" hidden="1" customHeight="1">
      <c r="A413" s="17" t="s">
        <v>59</v>
      </c>
      <c r="B413" s="28">
        <v>3.0</v>
      </c>
      <c r="C413" s="29" t="s">
        <v>266</v>
      </c>
      <c r="D413" s="21"/>
      <c r="E413" s="21"/>
      <c r="F413" s="30">
        <v>485.0</v>
      </c>
      <c r="G413" s="30">
        <v>1000.0</v>
      </c>
      <c r="H413" s="23"/>
      <c r="I413" s="31">
        <v>4999.0</v>
      </c>
      <c r="J413" s="31"/>
      <c r="K413" s="25">
        <f t="shared" si="1"/>
        <v>0</v>
      </c>
      <c r="L413" s="25">
        <f>IF(I413=0,"",I413/F413*G413*LOOKUP(B413,L!A:A,L!C:C))</f>
        <v>7730.412371</v>
      </c>
      <c r="M413" s="26">
        <f>IF(L413=MIN(L411:L413),1,0)</f>
        <v>0</v>
      </c>
    </row>
    <row r="414" ht="15.0" hidden="1" customHeight="1">
      <c r="A414" s="27" t="s">
        <v>145</v>
      </c>
      <c r="B414" s="18">
        <v>1.0</v>
      </c>
      <c r="C414" s="37" t="s">
        <v>184</v>
      </c>
      <c r="D414" s="21"/>
      <c r="E414" s="29" t="s">
        <v>267</v>
      </c>
      <c r="F414" s="38">
        <v>200.0</v>
      </c>
      <c r="G414" s="22">
        <v>1000.0</v>
      </c>
      <c r="H414" s="23"/>
      <c r="I414" s="24">
        <v>1288.0</v>
      </c>
      <c r="J414" s="24"/>
      <c r="K414" s="25">
        <f t="shared" si="1"/>
        <v>0</v>
      </c>
      <c r="L414" s="25">
        <f>IF(I414=0,"",I414/F414*G414*LOOKUP(B414,L!A:A,L!C:C))</f>
        <v>4186</v>
      </c>
      <c r="M414" s="26">
        <f>IF(L414=MIN(L414:L416),1,0)</f>
        <v>0</v>
      </c>
    </row>
    <row r="415" ht="15.0" hidden="1" customHeight="1">
      <c r="A415" s="27" t="s">
        <v>145</v>
      </c>
      <c r="B415" s="28">
        <v>2.0</v>
      </c>
      <c r="C415" s="37" t="s">
        <v>184</v>
      </c>
      <c r="D415" s="29"/>
      <c r="E415" s="29" t="s">
        <v>267</v>
      </c>
      <c r="F415" s="32">
        <v>200.0</v>
      </c>
      <c r="G415" s="30">
        <v>1000.0</v>
      </c>
      <c r="H415" s="23"/>
      <c r="I415" s="31">
        <v>2.0</v>
      </c>
      <c r="J415" s="31"/>
      <c r="K415" s="25">
        <f t="shared" si="1"/>
        <v>0</v>
      </c>
      <c r="L415" s="25">
        <f>IF(I415=0,"",I415/F415*G415*LOOKUP(B415,L!A:A,L!C:C))</f>
        <v>7.5</v>
      </c>
      <c r="M415" s="26">
        <f>IF(L415=MIN(L414:L416),1,0)</f>
        <v>1</v>
      </c>
    </row>
    <row r="416" ht="15.0" hidden="1" customHeight="1">
      <c r="A416" s="17" t="s">
        <v>145</v>
      </c>
      <c r="B416" s="28">
        <v>4.0</v>
      </c>
      <c r="C416" s="37" t="s">
        <v>184</v>
      </c>
      <c r="D416" s="29"/>
      <c r="E416" s="29" t="s">
        <v>267</v>
      </c>
      <c r="F416" s="32">
        <v>200.0</v>
      </c>
      <c r="G416" s="30">
        <v>1000.0</v>
      </c>
      <c r="H416" s="23"/>
      <c r="I416" s="31">
        <v>2259.0</v>
      </c>
      <c r="J416" s="36"/>
      <c r="K416" s="25">
        <f t="shared" si="1"/>
        <v>0</v>
      </c>
      <c r="L416" s="25">
        <f>IF(I416=0,"",I416/F416*G416*LOOKUP(B416,L!A:A,L!C:C))</f>
        <v>11295</v>
      </c>
      <c r="M416" s="26">
        <f>IF(L416=MIN(L414:L416),1,0)</f>
        <v>0</v>
      </c>
    </row>
    <row r="417" ht="15.0" hidden="1" customHeight="1">
      <c r="A417" s="17" t="s">
        <v>55</v>
      </c>
      <c r="B417" s="18">
        <v>1.0</v>
      </c>
      <c r="C417" s="19" t="s">
        <v>268</v>
      </c>
      <c r="D417" s="21"/>
      <c r="E417" s="21"/>
      <c r="F417" s="22">
        <v>1000.0</v>
      </c>
      <c r="G417" s="22">
        <v>1000.0</v>
      </c>
      <c r="H417" s="35"/>
      <c r="I417" s="34"/>
      <c r="J417" s="34"/>
      <c r="K417" s="25">
        <f t="shared" si="1"/>
        <v>0</v>
      </c>
      <c r="L417" s="25" t="str">
        <f>IF(I417=0,"",I417/F417*G417*LOOKUP(B417,L!A:A,L!C:C))</f>
        <v/>
      </c>
      <c r="M417" s="26">
        <f>IF(L417=MIN(L417:L419),1,0)</f>
        <v>0</v>
      </c>
    </row>
    <row r="418" ht="15.0" hidden="1" customHeight="1">
      <c r="A418" s="27" t="s">
        <v>55</v>
      </c>
      <c r="B418" s="28">
        <v>2.0</v>
      </c>
      <c r="C418" s="29" t="s">
        <v>268</v>
      </c>
      <c r="D418" s="21"/>
      <c r="E418" s="21"/>
      <c r="F418" s="30"/>
      <c r="G418" s="30">
        <v>1000.0</v>
      </c>
      <c r="H418" s="35"/>
      <c r="I418" s="36"/>
      <c r="J418" s="36"/>
      <c r="K418" s="25">
        <f t="shared" si="1"/>
        <v>0</v>
      </c>
      <c r="L418" s="25" t="str">
        <f>IF(I418=0,"",I418/F418*G418*LOOKUP(B418,L!A:A,L!C:C))</f>
        <v/>
      </c>
      <c r="M418" s="26">
        <f>IF(L418=MIN(L417:L419),1,0)</f>
        <v>0</v>
      </c>
    </row>
    <row r="419" ht="15.0" hidden="1" customHeight="1">
      <c r="A419" s="17" t="s">
        <v>55</v>
      </c>
      <c r="B419" s="28">
        <v>4.0</v>
      </c>
      <c r="C419" s="29" t="s">
        <v>268</v>
      </c>
      <c r="D419" s="21"/>
      <c r="E419" s="21"/>
      <c r="F419" s="30"/>
      <c r="G419" s="30">
        <v>1000.0</v>
      </c>
      <c r="H419" s="35"/>
      <c r="I419" s="36"/>
      <c r="J419" s="36"/>
      <c r="K419" s="25">
        <f t="shared" si="1"/>
        <v>0</v>
      </c>
      <c r="L419" s="25" t="str">
        <f>IF(I419=0,"",I419/F419*G419*LOOKUP(B419,L!A:A,L!C:C))</f>
        <v/>
      </c>
      <c r="M419" s="26">
        <f>IF(L419=MIN(L417:L419),1,0)</f>
        <v>0</v>
      </c>
    </row>
    <row r="420" ht="15.0" customHeight="1">
      <c r="A420" s="17" t="s">
        <v>145</v>
      </c>
      <c r="B420" s="18">
        <v>1.0</v>
      </c>
      <c r="C420" s="37" t="s">
        <v>184</v>
      </c>
      <c r="D420" s="19"/>
      <c r="E420" s="19" t="s">
        <v>269</v>
      </c>
      <c r="F420" s="22">
        <v>357.0</v>
      </c>
      <c r="G420" s="22">
        <v>1000.0</v>
      </c>
      <c r="H420" s="23">
        <v>0.0</v>
      </c>
      <c r="I420" s="24">
        <v>5684.75</v>
      </c>
      <c r="J420" s="24"/>
      <c r="K420" s="25">
        <f t="shared" si="1"/>
        <v>0</v>
      </c>
      <c r="L420" s="25">
        <f>IF(I420=0,"",I420/F420*G420*LOOKUP(B420,L!A:A,L!C:C))</f>
        <v>10350.38515</v>
      </c>
      <c r="M420" s="26">
        <f>IF(L420=MIN(L420:L422),1,0)</f>
        <v>1</v>
      </c>
    </row>
    <row r="421" ht="15.0" hidden="1" customHeight="1">
      <c r="A421" s="27" t="s">
        <v>145</v>
      </c>
      <c r="B421" s="28">
        <v>2.0</v>
      </c>
      <c r="C421" s="37" t="s">
        <v>184</v>
      </c>
      <c r="D421" s="29"/>
      <c r="E421" s="29" t="s">
        <v>269</v>
      </c>
      <c r="F421" s="30">
        <v>357.0</v>
      </c>
      <c r="G421" s="30">
        <v>1000.0</v>
      </c>
      <c r="H421" s="23"/>
      <c r="I421" s="36">
        <f>5550</f>
        <v>5550</v>
      </c>
      <c r="J421" s="36"/>
      <c r="K421" s="25">
        <f t="shared" si="1"/>
        <v>0</v>
      </c>
      <c r="L421" s="25">
        <f>IF(I421=0,"",I421/F421*G421*LOOKUP(B421,L!A:A,L!C:C))</f>
        <v>11659.66387</v>
      </c>
      <c r="M421" s="26">
        <f>IF(L421=MIN(L420:L422),1,0)</f>
        <v>0</v>
      </c>
    </row>
    <row r="422" ht="15.0" hidden="1" customHeight="1">
      <c r="A422" s="17" t="s">
        <v>145</v>
      </c>
      <c r="B422" s="28">
        <v>3.0</v>
      </c>
      <c r="C422" s="37" t="s">
        <v>184</v>
      </c>
      <c r="D422" s="29"/>
      <c r="E422" s="29" t="s">
        <v>269</v>
      </c>
      <c r="F422" s="32">
        <v>119.0</v>
      </c>
      <c r="G422" s="30">
        <v>1000.0</v>
      </c>
      <c r="H422" s="23">
        <v>1.0</v>
      </c>
      <c r="I422" s="31">
        <v>6409.0</v>
      </c>
      <c r="J422" s="31"/>
      <c r="K422" s="25">
        <f t="shared" si="1"/>
        <v>6409</v>
      </c>
      <c r="L422" s="25">
        <f>IF(I422=0,"",I422/F422*G422*LOOKUP(B422,L!A:A,L!C:C))</f>
        <v>40392.85714</v>
      </c>
      <c r="M422" s="26">
        <f>IF(L422=MIN(L420:L422),1,0)</f>
        <v>0</v>
      </c>
    </row>
    <row r="423" ht="15.0" hidden="1" customHeight="1">
      <c r="A423" s="33" t="s">
        <v>65</v>
      </c>
      <c r="B423" s="18">
        <v>1.0</v>
      </c>
      <c r="C423" s="19" t="s">
        <v>270</v>
      </c>
      <c r="D423" s="21"/>
      <c r="E423" s="21"/>
      <c r="F423" s="22">
        <v>1000.0</v>
      </c>
      <c r="G423" s="22">
        <v>1000.0</v>
      </c>
      <c r="H423" s="23"/>
      <c r="I423" s="34"/>
      <c r="J423" s="34"/>
      <c r="K423" s="25">
        <f t="shared" si="1"/>
        <v>0</v>
      </c>
      <c r="L423" s="25" t="str">
        <f>IF(I423=0,"",I423/F423*G423*LOOKUP(B423,L!A:A,L!C:C))</f>
        <v/>
      </c>
      <c r="M423" s="26">
        <f>IF(L423=MIN(L423:L425),1,0)</f>
        <v>0</v>
      </c>
    </row>
    <row r="424" ht="15.0" hidden="1" customHeight="1">
      <c r="A424" s="33" t="s">
        <v>65</v>
      </c>
      <c r="B424" s="28">
        <v>2.0</v>
      </c>
      <c r="C424" s="29" t="s">
        <v>270</v>
      </c>
      <c r="D424" s="21"/>
      <c r="E424" s="21"/>
      <c r="F424" s="30"/>
      <c r="G424" s="30">
        <v>1000.0</v>
      </c>
      <c r="H424" s="35"/>
      <c r="I424" s="36"/>
      <c r="J424" s="36"/>
      <c r="K424" s="25">
        <f t="shared" si="1"/>
        <v>0</v>
      </c>
      <c r="L424" s="25" t="str">
        <f>IF(I424=0,"",I424/F424*G424*LOOKUP(B424,L!A:A,L!C:C))</f>
        <v/>
      </c>
      <c r="M424" s="26">
        <f>IF(L424=MIN(L423:L425),1,0)</f>
        <v>0</v>
      </c>
    </row>
    <row r="425" ht="15.0" hidden="1" customHeight="1">
      <c r="A425" s="33" t="s">
        <v>65</v>
      </c>
      <c r="B425" s="28">
        <v>4.0</v>
      </c>
      <c r="C425" s="29" t="s">
        <v>270</v>
      </c>
      <c r="D425" s="21"/>
      <c r="E425" s="21"/>
      <c r="F425" s="30"/>
      <c r="G425" s="30">
        <v>1000.0</v>
      </c>
      <c r="H425" s="35"/>
      <c r="I425" s="36"/>
      <c r="J425" s="36"/>
      <c r="K425" s="25">
        <f t="shared" si="1"/>
        <v>0</v>
      </c>
      <c r="L425" s="25" t="str">
        <f>IF(I425=0,"",I425/F425*G425*LOOKUP(B425,L!A:A,L!C:C))</f>
        <v/>
      </c>
      <c r="M425" s="26">
        <f>IF(L425=MIN(L423:L425),1,0)</f>
        <v>0</v>
      </c>
    </row>
    <row r="426" ht="15.0" hidden="1" customHeight="1">
      <c r="A426" s="33" t="s">
        <v>46</v>
      </c>
      <c r="B426" s="18">
        <v>1.0</v>
      </c>
      <c r="C426" s="29" t="s">
        <v>271</v>
      </c>
      <c r="D426" s="21"/>
      <c r="E426" s="21"/>
      <c r="F426" s="38">
        <v>1.0</v>
      </c>
      <c r="G426" s="38">
        <v>1.0</v>
      </c>
      <c r="H426" s="23"/>
      <c r="I426" s="24">
        <v>658.0</v>
      </c>
      <c r="J426" s="24"/>
      <c r="K426" s="25">
        <f t="shared" si="1"/>
        <v>0</v>
      </c>
      <c r="L426" s="25">
        <f>IF(I426=0,"",I426/F426*G426*LOOKUP(B426,L!A:A,L!C:C))</f>
        <v>427.7</v>
      </c>
      <c r="M426" s="26">
        <f>IF(L426=MIN(L426:L428),1,0)</f>
        <v>1</v>
      </c>
    </row>
    <row r="427" ht="15.0" hidden="1" customHeight="1">
      <c r="A427" s="33" t="s">
        <v>46</v>
      </c>
      <c r="B427" s="28">
        <v>2.0</v>
      </c>
      <c r="C427" s="29" t="s">
        <v>271</v>
      </c>
      <c r="D427" s="21"/>
      <c r="E427" s="21"/>
      <c r="F427" s="32">
        <v>1.0</v>
      </c>
      <c r="G427" s="30">
        <v>1.0</v>
      </c>
      <c r="H427" s="35"/>
      <c r="I427" s="36"/>
      <c r="J427" s="36"/>
      <c r="K427" s="25">
        <f t="shared" si="1"/>
        <v>0</v>
      </c>
      <c r="L427" s="25" t="str">
        <f>IF(I427=0,"",I427/F427*G427*LOOKUP(B427,L!A:A,L!C:C))</f>
        <v/>
      </c>
      <c r="M427" s="26">
        <f>IF(L427=MIN(L426:L428),1,0)</f>
        <v>0</v>
      </c>
    </row>
    <row r="428" ht="15.0" hidden="1" customHeight="1">
      <c r="A428" s="33" t="s">
        <v>46</v>
      </c>
      <c r="B428" s="28">
        <v>4.0</v>
      </c>
      <c r="C428" s="29" t="s">
        <v>271</v>
      </c>
      <c r="D428" s="21"/>
      <c r="E428" s="21"/>
      <c r="F428" s="32">
        <v>1.0</v>
      </c>
      <c r="G428" s="30">
        <v>1.0</v>
      </c>
      <c r="H428" s="35"/>
      <c r="I428" s="36"/>
      <c r="J428" s="36"/>
      <c r="K428" s="25">
        <f t="shared" si="1"/>
        <v>0</v>
      </c>
      <c r="L428" s="25" t="str">
        <f>IF(I428=0,"",I428/F428*G428*LOOKUP(B428,L!A:A,L!C:C))</f>
        <v/>
      </c>
      <c r="M428" s="26">
        <f>IF(L428=MIN(L426:L428),1,0)</f>
        <v>0</v>
      </c>
    </row>
    <row r="429" ht="15.0" hidden="1" customHeight="1">
      <c r="A429" s="17" t="s">
        <v>68</v>
      </c>
      <c r="B429" s="18">
        <v>1.0</v>
      </c>
      <c r="C429" s="19" t="s">
        <v>272</v>
      </c>
      <c r="D429" s="21"/>
      <c r="E429" s="21"/>
      <c r="F429" s="22">
        <v>2.0</v>
      </c>
      <c r="G429" s="22">
        <v>1.0</v>
      </c>
      <c r="H429" s="35"/>
      <c r="I429" s="34"/>
      <c r="J429" s="34"/>
      <c r="K429" s="25">
        <f t="shared" si="1"/>
        <v>0</v>
      </c>
      <c r="L429" s="25" t="str">
        <f>IF(I429=0,"",I429/F429*G429*LOOKUP(B429,L!A:A,L!C:C))</f>
        <v/>
      </c>
      <c r="M429" s="26">
        <f>IF(L429=MIN(L429:L431),1,0)</f>
        <v>0</v>
      </c>
    </row>
    <row r="430" ht="15.0" hidden="1" customHeight="1">
      <c r="A430" s="27" t="s">
        <v>68</v>
      </c>
      <c r="B430" s="28">
        <v>2.0</v>
      </c>
      <c r="C430" s="29" t="s">
        <v>272</v>
      </c>
      <c r="D430" s="21"/>
      <c r="E430" s="21"/>
      <c r="F430" s="22">
        <v>2.0</v>
      </c>
      <c r="G430" s="30">
        <v>1.0</v>
      </c>
      <c r="H430" s="35"/>
      <c r="I430" s="36"/>
      <c r="J430" s="36"/>
      <c r="K430" s="25">
        <f t="shared" si="1"/>
        <v>0</v>
      </c>
      <c r="L430" s="25" t="str">
        <f>IF(I430=0,"",I430/F430*G430*LOOKUP(B430,L!A:A,L!C:C))</f>
        <v/>
      </c>
      <c r="M430" s="26">
        <f>IF(L430=MIN(L429:L431),1,0)</f>
        <v>0</v>
      </c>
    </row>
    <row r="431" ht="15.0" hidden="1" customHeight="1">
      <c r="A431" s="17" t="s">
        <v>68</v>
      </c>
      <c r="B431" s="28">
        <v>4.0</v>
      </c>
      <c r="C431" s="29" t="s">
        <v>272</v>
      </c>
      <c r="D431" s="21"/>
      <c r="E431" s="21"/>
      <c r="F431" s="22">
        <v>2.0</v>
      </c>
      <c r="G431" s="30">
        <v>1.0</v>
      </c>
      <c r="H431" s="35"/>
      <c r="I431" s="36"/>
      <c r="J431" s="36"/>
      <c r="K431" s="25">
        <f t="shared" si="1"/>
        <v>0</v>
      </c>
      <c r="L431" s="25" t="str">
        <f>IF(I431=0,"",I431/F431*G431*LOOKUP(B431,L!A:A,L!C:C))</f>
        <v/>
      </c>
      <c r="M431" s="26">
        <f>IF(L431=MIN(L429:L431),1,0)</f>
        <v>0</v>
      </c>
    </row>
    <row r="432" ht="15.0" hidden="1" customHeight="1">
      <c r="A432" s="33" t="s">
        <v>46</v>
      </c>
      <c r="B432" s="18">
        <v>1.0</v>
      </c>
      <c r="C432" s="29" t="s">
        <v>273</v>
      </c>
      <c r="D432" s="20"/>
      <c r="E432" s="20"/>
      <c r="F432" s="22">
        <v>1000.0</v>
      </c>
      <c r="G432" s="22">
        <v>1000.0</v>
      </c>
      <c r="H432" s="23"/>
      <c r="I432" s="24">
        <v>3288.0</v>
      </c>
      <c r="J432" s="24"/>
      <c r="K432" s="25">
        <f t="shared" si="1"/>
        <v>0</v>
      </c>
      <c r="L432" s="25">
        <f>IF(I432=0,"",I432/F432*G432*LOOKUP(B432,L!A:A,L!C:C))</f>
        <v>2137.2</v>
      </c>
      <c r="M432" s="26">
        <f>IF(L432=MIN(L432:L434),1,0)</f>
        <v>1</v>
      </c>
    </row>
    <row r="433" ht="15.0" hidden="1" customHeight="1">
      <c r="A433" s="33" t="s">
        <v>46</v>
      </c>
      <c r="B433" s="28">
        <v>2.0</v>
      </c>
      <c r="C433" s="29" t="s">
        <v>273</v>
      </c>
      <c r="D433" s="21"/>
      <c r="E433" s="21"/>
      <c r="F433" s="30">
        <v>1000.0</v>
      </c>
      <c r="G433" s="30">
        <v>1000.0</v>
      </c>
      <c r="H433" s="23"/>
      <c r="I433" s="36"/>
      <c r="J433" s="36"/>
      <c r="K433" s="25">
        <f t="shared" si="1"/>
        <v>0</v>
      </c>
      <c r="L433" s="25" t="str">
        <f>IF(I433=0,"",I433/F433*G433*LOOKUP(B433,L!A:A,L!C:C))</f>
        <v/>
      </c>
      <c r="M433" s="26">
        <f>IF(L433=MIN(L432:L434),1,0)</f>
        <v>0</v>
      </c>
    </row>
    <row r="434" ht="15.0" hidden="1" customHeight="1">
      <c r="A434" s="33" t="s">
        <v>46</v>
      </c>
      <c r="B434" s="28">
        <v>4.0</v>
      </c>
      <c r="C434" s="29" t="s">
        <v>273</v>
      </c>
      <c r="D434" s="21"/>
      <c r="E434" s="21"/>
      <c r="F434" s="32">
        <v>1000.0</v>
      </c>
      <c r="G434" s="30">
        <v>1000.0</v>
      </c>
      <c r="H434" s="23"/>
      <c r="I434" s="36"/>
      <c r="J434" s="36"/>
      <c r="K434" s="25">
        <f t="shared" si="1"/>
        <v>0</v>
      </c>
      <c r="L434" s="25" t="str">
        <f>IF(I434=0,"",I434/F434*G434*LOOKUP(B434,L!A:A,L!C:C))</f>
        <v/>
      </c>
      <c r="M434" s="26">
        <f>IF(L434=MIN(L432:L434),1,0)</f>
        <v>0</v>
      </c>
    </row>
    <row r="435" ht="15.0" hidden="1" customHeight="1">
      <c r="A435" s="17" t="s">
        <v>145</v>
      </c>
      <c r="B435" s="18">
        <v>1.0</v>
      </c>
      <c r="C435" s="37" t="s">
        <v>274</v>
      </c>
      <c r="D435" s="21"/>
      <c r="E435" s="21"/>
      <c r="F435" s="22">
        <v>100.0</v>
      </c>
      <c r="G435" s="22">
        <v>1000.0</v>
      </c>
      <c r="H435" s="35"/>
      <c r="I435" s="34"/>
      <c r="J435" s="34"/>
      <c r="K435" s="25">
        <f t="shared" si="1"/>
        <v>0</v>
      </c>
      <c r="L435" s="25" t="str">
        <f>IF(I435=0,"",I435/F435*G435*LOOKUP(B435,L!A:A,L!C:C))</f>
        <v/>
      </c>
      <c r="M435" s="26">
        <f>IF(L435=MIN(L435:L437),1,0)</f>
        <v>0</v>
      </c>
    </row>
    <row r="436" ht="15.0" hidden="1" customHeight="1">
      <c r="A436" s="27" t="s">
        <v>145</v>
      </c>
      <c r="B436" s="28">
        <v>2.0</v>
      </c>
      <c r="C436" s="37" t="s">
        <v>274</v>
      </c>
      <c r="D436" s="21"/>
      <c r="E436" s="21"/>
      <c r="F436" s="30"/>
      <c r="G436" s="30">
        <v>1000.0</v>
      </c>
      <c r="H436" s="23"/>
      <c r="I436" s="36"/>
      <c r="J436" s="36"/>
      <c r="K436" s="25">
        <f t="shared" si="1"/>
        <v>0</v>
      </c>
      <c r="L436" s="25" t="str">
        <f>IF(I436=0,"",I436/F436*G436*LOOKUP(B436,L!A:A,L!C:C))</f>
        <v/>
      </c>
      <c r="M436" s="26">
        <f>IF(L436=MIN(L435:L437),1,0)</f>
        <v>0</v>
      </c>
    </row>
    <row r="437" ht="15.0" hidden="1" customHeight="1">
      <c r="A437" s="17" t="s">
        <v>145</v>
      </c>
      <c r="B437" s="28">
        <v>4.0</v>
      </c>
      <c r="C437" s="37" t="s">
        <v>274</v>
      </c>
      <c r="D437" s="21"/>
      <c r="E437" s="21"/>
      <c r="F437" s="30"/>
      <c r="G437" s="30">
        <v>1000.0</v>
      </c>
      <c r="H437" s="35"/>
      <c r="I437" s="36"/>
      <c r="J437" s="36"/>
      <c r="K437" s="25">
        <f t="shared" si="1"/>
        <v>0</v>
      </c>
      <c r="L437" s="25" t="str">
        <f>IF(I437=0,"",I437/F437*G437*LOOKUP(B437,L!A:A,L!C:C))</f>
        <v/>
      </c>
      <c r="M437" s="26">
        <f>IF(L437=MIN(L435:L437),1,0)</f>
        <v>0</v>
      </c>
    </row>
    <row r="438" ht="15.0" hidden="1" customHeight="1">
      <c r="A438" s="33" t="s">
        <v>71</v>
      </c>
      <c r="B438" s="18">
        <v>1.0</v>
      </c>
      <c r="C438" s="19" t="s">
        <v>275</v>
      </c>
      <c r="D438" s="21"/>
      <c r="E438" s="21"/>
      <c r="F438" s="22">
        <v>500.0</v>
      </c>
      <c r="G438" s="22">
        <v>1000.0</v>
      </c>
      <c r="H438" s="23"/>
      <c r="I438" s="24">
        <v>1056.75</v>
      </c>
      <c r="J438" s="34"/>
      <c r="K438" s="25">
        <f t="shared" si="1"/>
        <v>0</v>
      </c>
      <c r="L438" s="25">
        <f>IF(I438=0,"",I438/F438*G438*LOOKUP(B438,L!A:A,L!C:C))</f>
        <v>1373.775</v>
      </c>
      <c r="M438" s="26">
        <f>IF(L438=MIN(L438:L440),1,0)</f>
        <v>1</v>
      </c>
    </row>
    <row r="439" ht="15.0" hidden="1" customHeight="1">
      <c r="A439" s="33" t="s">
        <v>71</v>
      </c>
      <c r="B439" s="28">
        <v>2.0</v>
      </c>
      <c r="C439" s="29" t="s">
        <v>275</v>
      </c>
      <c r="D439" s="21"/>
      <c r="E439" s="21"/>
      <c r="F439" s="30"/>
      <c r="G439" s="30">
        <v>1000.0</v>
      </c>
      <c r="H439" s="35"/>
      <c r="I439" s="36"/>
      <c r="J439" s="36"/>
      <c r="K439" s="25">
        <f t="shared" si="1"/>
        <v>0</v>
      </c>
      <c r="L439" s="25" t="str">
        <f>IF(I439=0,"",I439/F439*G439*LOOKUP(B439,L!A:A,L!C:C))</f>
        <v/>
      </c>
      <c r="M439" s="26">
        <f>IF(L439=MIN(L438:L440),1,0)</f>
        <v>0</v>
      </c>
    </row>
    <row r="440" ht="15.0" hidden="1" customHeight="1">
      <c r="A440" s="33" t="s">
        <v>71</v>
      </c>
      <c r="B440" s="28">
        <v>4.0</v>
      </c>
      <c r="C440" s="29" t="s">
        <v>275</v>
      </c>
      <c r="D440" s="20"/>
      <c r="E440" s="20" t="s">
        <v>276</v>
      </c>
      <c r="F440" s="32">
        <v>500.0</v>
      </c>
      <c r="G440" s="30">
        <v>1000.0</v>
      </c>
      <c r="H440" s="35"/>
      <c r="I440" s="31"/>
      <c r="J440" s="31"/>
      <c r="K440" s="25">
        <f t="shared" si="1"/>
        <v>0</v>
      </c>
      <c r="L440" s="25" t="str">
        <f>IF(I440=0,"",I440/F440*G440*LOOKUP(B440,L!A:A,L!C:C))</f>
        <v/>
      </c>
      <c r="M440" s="26">
        <f>IF(L440=MIN(L438:L440),1,0)</f>
        <v>0</v>
      </c>
    </row>
    <row r="441" ht="15.0" hidden="1" customHeight="1">
      <c r="A441" s="17" t="s">
        <v>48</v>
      </c>
      <c r="B441" s="18">
        <v>1.0</v>
      </c>
      <c r="C441" s="19" t="s">
        <v>277</v>
      </c>
      <c r="D441" s="21"/>
      <c r="E441" s="21"/>
      <c r="F441" s="22"/>
      <c r="G441" s="22">
        <v>1000.0</v>
      </c>
      <c r="H441" s="35"/>
      <c r="I441" s="34"/>
      <c r="J441" s="34"/>
      <c r="K441" s="25">
        <f t="shared" si="1"/>
        <v>0</v>
      </c>
      <c r="L441" s="25" t="str">
        <f>IF(I441=0,"",I441/F441*G441*LOOKUP(B441,L!A:A,L!C:C))</f>
        <v/>
      </c>
      <c r="M441" s="26">
        <f>IF(L441=MIN(L441:L443),1,0)</f>
        <v>0</v>
      </c>
    </row>
    <row r="442" ht="15.0" hidden="1" customHeight="1">
      <c r="A442" s="27" t="s">
        <v>48</v>
      </c>
      <c r="B442" s="28">
        <v>2.0</v>
      </c>
      <c r="C442" s="29" t="s">
        <v>277</v>
      </c>
      <c r="D442" s="21"/>
      <c r="E442" s="21"/>
      <c r="F442" s="30"/>
      <c r="G442" s="30">
        <v>1000.0</v>
      </c>
      <c r="H442" s="35"/>
      <c r="I442" s="36"/>
      <c r="J442" s="36"/>
      <c r="K442" s="25">
        <f t="shared" si="1"/>
        <v>0</v>
      </c>
      <c r="L442" s="25" t="str">
        <f>IF(I442=0,"",I442/F442*G442*LOOKUP(B442,L!A:A,L!C:C))</f>
        <v/>
      </c>
      <c r="M442" s="26">
        <f>IF(L442=MIN(L441:L443),1,0)</f>
        <v>0</v>
      </c>
    </row>
    <row r="443" ht="15.0" hidden="1" customHeight="1">
      <c r="A443" s="17" t="s">
        <v>48</v>
      </c>
      <c r="B443" s="28">
        <v>4.0</v>
      </c>
      <c r="C443" s="29" t="s">
        <v>277</v>
      </c>
      <c r="D443" s="21"/>
      <c r="E443" s="21"/>
      <c r="F443" s="30"/>
      <c r="G443" s="30">
        <v>1000.0</v>
      </c>
      <c r="H443" s="35"/>
      <c r="I443" s="36"/>
      <c r="J443" s="36"/>
      <c r="K443" s="25">
        <f t="shared" si="1"/>
        <v>0</v>
      </c>
      <c r="L443" s="25" t="str">
        <f>IF(I443=0,"",I443/F443*G443*LOOKUP(B443,L!A:A,L!C:C))</f>
        <v/>
      </c>
      <c r="M443" s="26">
        <f>IF(L443=MIN(L441:L443),1,0)</f>
        <v>0</v>
      </c>
    </row>
    <row r="444" ht="15.0" hidden="1" customHeight="1">
      <c r="A444" s="33" t="s">
        <v>71</v>
      </c>
      <c r="B444" s="18">
        <v>1.0</v>
      </c>
      <c r="C444" s="37" t="s">
        <v>278</v>
      </c>
      <c r="D444" s="21"/>
      <c r="E444" s="21"/>
      <c r="F444" s="22">
        <v>500.0</v>
      </c>
      <c r="G444" s="22">
        <v>1000.0</v>
      </c>
      <c r="H444" s="35"/>
      <c r="I444" s="34">
        <v>2595.29</v>
      </c>
      <c r="J444" s="34"/>
      <c r="K444" s="25">
        <f t="shared" si="1"/>
        <v>0</v>
      </c>
      <c r="L444" s="25">
        <f>IF(I444=0,"",I444/F444*G444*LOOKUP(B444,L!A:A,L!C:C))</f>
        <v>3373.877</v>
      </c>
      <c r="M444" s="26">
        <f>IF(L444=MIN(L444:L446),1,0)</f>
        <v>1</v>
      </c>
    </row>
    <row r="445" ht="15.0" hidden="1" customHeight="1">
      <c r="A445" s="33" t="s">
        <v>71</v>
      </c>
      <c r="B445" s="28">
        <v>2.0</v>
      </c>
      <c r="C445" s="37" t="s">
        <v>278</v>
      </c>
      <c r="D445" s="21"/>
      <c r="E445" s="21"/>
      <c r="F445" s="30"/>
      <c r="G445" s="30">
        <v>1000.0</v>
      </c>
      <c r="H445" s="35"/>
      <c r="I445" s="36"/>
      <c r="J445" s="36"/>
      <c r="K445" s="25">
        <f t="shared" si="1"/>
        <v>0</v>
      </c>
      <c r="L445" s="25" t="str">
        <f>IF(I445=0,"",I445/F445*G445*LOOKUP(B445,L!A:A,L!C:C))</f>
        <v/>
      </c>
      <c r="M445" s="26">
        <f>IF(L445=MIN(L444:L446),1,0)</f>
        <v>0</v>
      </c>
    </row>
    <row r="446" ht="15.0" hidden="1" customHeight="1">
      <c r="A446" s="33" t="s">
        <v>71</v>
      </c>
      <c r="B446" s="28">
        <v>4.0</v>
      </c>
      <c r="C446" s="37" t="s">
        <v>278</v>
      </c>
      <c r="D446" s="21"/>
      <c r="E446" s="21"/>
      <c r="F446" s="32">
        <v>500.0</v>
      </c>
      <c r="G446" s="30">
        <v>1000.0</v>
      </c>
      <c r="H446" s="23"/>
      <c r="I446" s="31">
        <v>3369.0</v>
      </c>
      <c r="J446" s="31"/>
      <c r="K446" s="25">
        <f t="shared" si="1"/>
        <v>0</v>
      </c>
      <c r="L446" s="25">
        <f>IF(I446=0,"",I446/F446*G446*LOOKUP(B446,L!A:A,L!C:C))</f>
        <v>6738</v>
      </c>
      <c r="M446" s="26">
        <f>IF(L446=MIN(L444:L446),1,0)</f>
        <v>0</v>
      </c>
    </row>
    <row r="447" ht="15.0" hidden="1" customHeight="1">
      <c r="A447" s="33" t="s">
        <v>139</v>
      </c>
      <c r="B447" s="18">
        <v>1.0</v>
      </c>
      <c r="C447" s="19" t="s">
        <v>279</v>
      </c>
      <c r="D447" s="20"/>
      <c r="E447" s="20" t="s">
        <v>141</v>
      </c>
      <c r="F447" s="22">
        <v>1000.0</v>
      </c>
      <c r="G447" s="22">
        <v>1000.0</v>
      </c>
      <c r="H447" s="23"/>
      <c r="I447" s="24">
        <v>9271.0</v>
      </c>
      <c r="J447" s="24"/>
      <c r="K447" s="25">
        <f t="shared" si="1"/>
        <v>0</v>
      </c>
      <c r="L447" s="25">
        <f>IF(I447=0,"",I447/F447*G447*LOOKUP(B447,L!A:A,L!C:C))</f>
        <v>6026.15</v>
      </c>
      <c r="M447" s="26">
        <f>IF(L447=MIN(L447:L449),1,0)</f>
        <v>1</v>
      </c>
    </row>
    <row r="448" ht="15.0" hidden="1" customHeight="1">
      <c r="A448" s="33" t="s">
        <v>139</v>
      </c>
      <c r="B448" s="28">
        <v>2.0</v>
      </c>
      <c r="C448" s="29" t="s">
        <v>279</v>
      </c>
      <c r="D448" s="21"/>
      <c r="E448" s="21" t="s">
        <v>141</v>
      </c>
      <c r="F448" s="30">
        <v>1000.0</v>
      </c>
      <c r="G448" s="30">
        <v>1000.0</v>
      </c>
      <c r="H448" s="35"/>
      <c r="I448" s="36">
        <v>12299.0</v>
      </c>
      <c r="J448" s="36"/>
      <c r="K448" s="25">
        <f t="shared" si="1"/>
        <v>0</v>
      </c>
      <c r="L448" s="25">
        <f>IF(I448=0,"",I448/F448*G448*LOOKUP(B448,L!A:A,L!C:C))</f>
        <v>9224.25</v>
      </c>
      <c r="M448" s="26">
        <f>IF(L448=MIN(L447:L449),1,0)</f>
        <v>0</v>
      </c>
    </row>
    <row r="449" ht="15.0" hidden="1" customHeight="1">
      <c r="A449" s="33" t="s">
        <v>139</v>
      </c>
      <c r="B449" s="28">
        <v>4.0</v>
      </c>
      <c r="C449" s="29" t="s">
        <v>279</v>
      </c>
      <c r="D449" s="21"/>
      <c r="E449" s="21"/>
      <c r="F449" s="30"/>
      <c r="G449" s="30">
        <v>1000.0</v>
      </c>
      <c r="H449" s="23"/>
      <c r="I449" s="36"/>
      <c r="J449" s="36"/>
      <c r="K449" s="25">
        <f t="shared" si="1"/>
        <v>0</v>
      </c>
      <c r="L449" s="25" t="str">
        <f>IF(I449=0,"",I449/F449*G449*LOOKUP(B449,L!A:A,L!C:C))</f>
        <v/>
      </c>
      <c r="M449" s="26">
        <f>IF(L449=MIN(L447:L449),1,0)</f>
        <v>0</v>
      </c>
    </row>
    <row r="450" ht="15.0" customHeight="1">
      <c r="A450" s="33" t="s">
        <v>139</v>
      </c>
      <c r="B450" s="18">
        <v>1.0</v>
      </c>
      <c r="C450" s="29" t="s">
        <v>280</v>
      </c>
      <c r="D450" s="21"/>
      <c r="E450" s="21"/>
      <c r="F450" s="22">
        <v>1000.0</v>
      </c>
      <c r="G450" s="22">
        <v>1000.0</v>
      </c>
      <c r="H450" s="23">
        <v>0.0</v>
      </c>
      <c r="I450" s="24">
        <v>17295.0</v>
      </c>
      <c r="J450" s="24"/>
      <c r="K450" s="25">
        <f t="shared" si="1"/>
        <v>0</v>
      </c>
      <c r="L450" s="25">
        <f>IF(I450=0,"",I450/F450*G450*LOOKUP(B450,L!A:A,L!C:C))</f>
        <v>11241.75</v>
      </c>
      <c r="M450" s="26">
        <f>IF(L450=MIN(L450:L452),1,0)</f>
        <v>1</v>
      </c>
    </row>
    <row r="451" ht="15.0" hidden="1" customHeight="1">
      <c r="A451" s="33" t="s">
        <v>139</v>
      </c>
      <c r="B451" s="28">
        <v>2.0</v>
      </c>
      <c r="C451" s="29" t="s">
        <v>280</v>
      </c>
      <c r="D451" s="21"/>
      <c r="E451" s="21"/>
      <c r="F451" s="22">
        <v>1000.0</v>
      </c>
      <c r="G451" s="30">
        <v>1000.0</v>
      </c>
      <c r="H451" s="35"/>
      <c r="I451" s="31"/>
      <c r="J451" s="31"/>
      <c r="K451" s="25">
        <f t="shared" si="1"/>
        <v>0</v>
      </c>
      <c r="L451" s="25" t="str">
        <f>IF(I451=0,"",I451/F451*G451*LOOKUP(B451,L!A:A,L!C:C))</f>
        <v/>
      </c>
      <c r="M451" s="26">
        <f>IF(L451=MIN(L450:L452),1,0)</f>
        <v>0</v>
      </c>
    </row>
    <row r="452" ht="15.0" hidden="1" customHeight="1">
      <c r="A452" s="33" t="s">
        <v>139</v>
      </c>
      <c r="B452" s="28">
        <v>4.0</v>
      </c>
      <c r="C452" s="29" t="s">
        <v>280</v>
      </c>
      <c r="D452" s="21"/>
      <c r="E452" s="21"/>
      <c r="F452" s="22">
        <v>1000.0</v>
      </c>
      <c r="G452" s="30">
        <v>1000.0</v>
      </c>
      <c r="H452" s="35"/>
      <c r="I452" s="31"/>
      <c r="J452" s="31"/>
      <c r="K452" s="25">
        <f t="shared" si="1"/>
        <v>0</v>
      </c>
      <c r="L452" s="25" t="str">
        <f>IF(I452=0,"",I452/F452*G452*LOOKUP(B452,L!A:A,L!C:C))</f>
        <v/>
      </c>
      <c r="M452" s="26">
        <f>IF(L452=MIN(L450:L452),1,0)</f>
        <v>0</v>
      </c>
    </row>
    <row r="453" ht="15.0" hidden="1" customHeight="1">
      <c r="A453" s="33" t="s">
        <v>139</v>
      </c>
      <c r="B453" s="18">
        <v>1.0</v>
      </c>
      <c r="C453" s="29" t="s">
        <v>281</v>
      </c>
      <c r="D453" s="21"/>
      <c r="E453" s="21"/>
      <c r="F453" s="22">
        <v>1000.0</v>
      </c>
      <c r="G453" s="22">
        <v>1000.0</v>
      </c>
      <c r="H453" s="23"/>
      <c r="I453" s="24"/>
      <c r="J453" s="24"/>
      <c r="K453" s="25">
        <f t="shared" si="1"/>
        <v>0</v>
      </c>
      <c r="L453" s="25" t="str">
        <f>IF(I453=0,"",I453/F453*G453*LOOKUP(B453,L!A:A,L!C:C))</f>
        <v/>
      </c>
      <c r="M453" s="26">
        <f>IF(L453=MIN(L453:L455),1,0)</f>
        <v>0</v>
      </c>
    </row>
    <row r="454" ht="15.0" hidden="1" customHeight="1">
      <c r="A454" s="33" t="s">
        <v>139</v>
      </c>
      <c r="B454" s="28">
        <v>2.0</v>
      </c>
      <c r="C454" s="29" t="s">
        <v>281</v>
      </c>
      <c r="D454" s="21"/>
      <c r="E454" s="21"/>
      <c r="F454" s="32">
        <v>1000.0</v>
      </c>
      <c r="G454" s="30">
        <v>1000.0</v>
      </c>
      <c r="H454" s="23"/>
      <c r="I454" s="31">
        <v>17500.0</v>
      </c>
      <c r="J454" s="31"/>
      <c r="K454" s="25">
        <f t="shared" si="1"/>
        <v>0</v>
      </c>
      <c r="L454" s="25">
        <f>IF(I454=0,"",I454/F454*G454*LOOKUP(B454,L!A:A,L!C:C))</f>
        <v>13125</v>
      </c>
      <c r="M454" s="26">
        <f>IF(L454=MIN(L453:L455),1,0)</f>
        <v>1</v>
      </c>
    </row>
    <row r="455" ht="15.0" hidden="1" customHeight="1">
      <c r="A455" s="33" t="s">
        <v>139</v>
      </c>
      <c r="B455" s="28">
        <v>4.0</v>
      </c>
      <c r="C455" s="29" t="s">
        <v>281</v>
      </c>
      <c r="D455" s="21"/>
      <c r="E455" s="21"/>
      <c r="F455" s="30"/>
      <c r="G455" s="30">
        <v>1000.0</v>
      </c>
      <c r="H455" s="35"/>
      <c r="I455" s="36"/>
      <c r="J455" s="36"/>
      <c r="K455" s="25">
        <f t="shared" si="1"/>
        <v>0</v>
      </c>
      <c r="L455" s="25" t="str">
        <f>IF(I455=0,"",I455/F455*G455*LOOKUP(B455,L!A:A,L!C:C))</f>
        <v/>
      </c>
      <c r="M455" s="26">
        <f>IF(L455=MIN(L453:L455),1,0)</f>
        <v>0</v>
      </c>
    </row>
    <row r="456" ht="15.0" hidden="1" customHeight="1">
      <c r="A456" s="33" t="s">
        <v>139</v>
      </c>
      <c r="B456" s="18">
        <v>1.0</v>
      </c>
      <c r="C456" s="19" t="s">
        <v>282</v>
      </c>
      <c r="D456" s="21"/>
      <c r="E456" s="20" t="s">
        <v>283</v>
      </c>
      <c r="F456" s="22">
        <v>1000.0</v>
      </c>
      <c r="G456" s="22">
        <v>1000.0</v>
      </c>
      <c r="H456" s="23"/>
      <c r="I456" s="24">
        <v>14962.0</v>
      </c>
      <c r="J456" s="24"/>
      <c r="K456" s="25">
        <f t="shared" si="1"/>
        <v>0</v>
      </c>
      <c r="L456" s="25">
        <f>IF(I456=0,"",I456/F456*G456*LOOKUP(B456,L!A:A,L!C:C))</f>
        <v>9725.3</v>
      </c>
      <c r="M456" s="26">
        <f>IF(L456=MIN(L456:L458),1,0)</f>
        <v>1</v>
      </c>
    </row>
    <row r="457" ht="15.0" hidden="1" customHeight="1">
      <c r="A457" s="33" t="s">
        <v>139</v>
      </c>
      <c r="B457" s="28">
        <v>2.0</v>
      </c>
      <c r="C457" s="29" t="s">
        <v>282</v>
      </c>
      <c r="D457" s="21"/>
      <c r="E457" s="21"/>
      <c r="F457" s="30"/>
      <c r="G457" s="30">
        <v>1000.0</v>
      </c>
      <c r="H457" s="23"/>
      <c r="I457" s="36"/>
      <c r="J457" s="36"/>
      <c r="K457" s="25">
        <f t="shared" si="1"/>
        <v>0</v>
      </c>
      <c r="L457" s="25" t="str">
        <f>IF(I457=0,"",I457/F457*G457*LOOKUP(B457,L!A:A,L!C:C))</f>
        <v/>
      </c>
      <c r="M457" s="26">
        <f>IF(L457=MIN(L456:L458),1,0)</f>
        <v>0</v>
      </c>
    </row>
    <row r="458" ht="15.0" hidden="1" customHeight="1">
      <c r="A458" s="33" t="s">
        <v>139</v>
      </c>
      <c r="B458" s="28">
        <v>4.0</v>
      </c>
      <c r="C458" s="29" t="s">
        <v>282</v>
      </c>
      <c r="D458" s="21"/>
      <c r="E458" s="21"/>
      <c r="F458" s="30"/>
      <c r="G458" s="30">
        <v>1000.0</v>
      </c>
      <c r="H458" s="35"/>
      <c r="I458" s="36"/>
      <c r="J458" s="36"/>
      <c r="K458" s="25">
        <f t="shared" si="1"/>
        <v>0</v>
      </c>
      <c r="L458" s="25" t="str">
        <f>IF(I458=0,"",I458/F458*G458*LOOKUP(B458,L!A:A,L!C:C))</f>
        <v/>
      </c>
      <c r="M458" s="26">
        <f>IF(L458=MIN(L456:L458),1,0)</f>
        <v>0</v>
      </c>
    </row>
    <row r="459" ht="15.0" hidden="1" customHeight="1">
      <c r="A459" s="33" t="s">
        <v>139</v>
      </c>
      <c r="B459" s="18">
        <v>1.0</v>
      </c>
      <c r="C459" s="19" t="s">
        <v>284</v>
      </c>
      <c r="D459" s="21"/>
      <c r="E459" s="21"/>
      <c r="F459" s="22">
        <v>1000.0</v>
      </c>
      <c r="G459" s="22">
        <v>1000.0</v>
      </c>
      <c r="H459" s="23"/>
      <c r="I459" s="24">
        <v>13604.0</v>
      </c>
      <c r="J459" s="24"/>
      <c r="K459" s="25">
        <f t="shared" si="1"/>
        <v>0</v>
      </c>
      <c r="L459" s="25">
        <f>IF(I459=0,"",I459/F459*G459*LOOKUP(B459,L!A:A,L!C:C))</f>
        <v>8842.6</v>
      </c>
      <c r="M459" s="26">
        <f>IF(L459=MIN(L459:L461),1,0)</f>
        <v>1</v>
      </c>
    </row>
    <row r="460" ht="15.0" hidden="1" customHeight="1">
      <c r="A460" s="33" t="s">
        <v>139</v>
      </c>
      <c r="B460" s="28">
        <v>2.0</v>
      </c>
      <c r="C460" s="29" t="s">
        <v>284</v>
      </c>
      <c r="D460" s="21"/>
      <c r="E460" s="21" t="s">
        <v>141</v>
      </c>
      <c r="F460" s="30">
        <v>1000.0</v>
      </c>
      <c r="G460" s="30">
        <v>1000.0</v>
      </c>
      <c r="H460" s="23"/>
      <c r="I460" s="31"/>
      <c r="J460" s="31"/>
      <c r="K460" s="25">
        <f t="shared" si="1"/>
        <v>0</v>
      </c>
      <c r="L460" s="25" t="str">
        <f>IF(I460=0,"",I460/F460*G460*LOOKUP(B460,L!A:A,L!C:C))</f>
        <v/>
      </c>
      <c r="M460" s="26">
        <f>IF(L460=MIN(L459:L461),1,0)</f>
        <v>0</v>
      </c>
    </row>
    <row r="461" ht="15.0" hidden="1" customHeight="1">
      <c r="A461" s="33" t="s">
        <v>139</v>
      </c>
      <c r="B461" s="28">
        <v>4.0</v>
      </c>
      <c r="C461" s="29" t="s">
        <v>284</v>
      </c>
      <c r="D461" s="21"/>
      <c r="E461" s="21"/>
      <c r="F461" s="30"/>
      <c r="G461" s="30">
        <v>1000.0</v>
      </c>
      <c r="H461" s="23"/>
      <c r="I461" s="36"/>
      <c r="J461" s="36"/>
      <c r="K461" s="25">
        <f t="shared" si="1"/>
        <v>0</v>
      </c>
      <c r="L461" s="25" t="str">
        <f>IF(I461=0,"",I461/F461*G461*LOOKUP(B461,L!A:A,L!C:C))</f>
        <v/>
      </c>
      <c r="M461" s="26">
        <f>IF(L461=MIN(L459:L461),1,0)</f>
        <v>0</v>
      </c>
    </row>
    <row r="462" ht="15.0" hidden="1" customHeight="1">
      <c r="A462" s="33" t="s">
        <v>139</v>
      </c>
      <c r="B462" s="18">
        <v>1.0</v>
      </c>
      <c r="C462" s="29" t="s">
        <v>285</v>
      </c>
      <c r="D462" s="21"/>
      <c r="E462" s="20" t="s">
        <v>286</v>
      </c>
      <c r="F462" s="22">
        <v>1000.0</v>
      </c>
      <c r="G462" s="22">
        <v>1000.0</v>
      </c>
      <c r="H462" s="23"/>
      <c r="I462" s="24">
        <v>26396.0</v>
      </c>
      <c r="J462" s="24"/>
      <c r="K462" s="25">
        <f t="shared" si="1"/>
        <v>0</v>
      </c>
      <c r="L462" s="25">
        <f>IF(I462=0,"",I462/F462*G462*LOOKUP(B462,L!A:A,L!C:C))</f>
        <v>17157.4</v>
      </c>
      <c r="M462" s="26">
        <f>IF(L462=MIN(L462:L464),1,0)</f>
        <v>1</v>
      </c>
    </row>
    <row r="463" ht="15.0" hidden="1" customHeight="1">
      <c r="A463" s="33" t="s">
        <v>139</v>
      </c>
      <c r="B463" s="28">
        <v>2.0</v>
      </c>
      <c r="C463" s="29" t="s">
        <v>285</v>
      </c>
      <c r="D463" s="21"/>
      <c r="E463" s="21"/>
      <c r="F463" s="30">
        <v>1000.0</v>
      </c>
      <c r="G463" s="30">
        <v>1000.0</v>
      </c>
      <c r="H463" s="23"/>
      <c r="I463" s="31">
        <v>32000.0</v>
      </c>
      <c r="J463" s="36"/>
      <c r="K463" s="25">
        <f t="shared" si="1"/>
        <v>0</v>
      </c>
      <c r="L463" s="25">
        <f>IF(I463=0,"",I463/F463*G463*LOOKUP(B463,L!A:A,L!C:C))</f>
        <v>24000</v>
      </c>
      <c r="M463" s="26">
        <f>IF(L463=MIN(L462:L464),1,0)</f>
        <v>0</v>
      </c>
    </row>
    <row r="464" ht="15.0" hidden="1" customHeight="1">
      <c r="A464" s="33" t="s">
        <v>139</v>
      </c>
      <c r="B464" s="28">
        <v>4.0</v>
      </c>
      <c r="C464" s="29" t="s">
        <v>285</v>
      </c>
      <c r="D464" s="21"/>
      <c r="E464" s="21"/>
      <c r="F464" s="30"/>
      <c r="G464" s="30">
        <v>1000.0</v>
      </c>
      <c r="H464" s="35"/>
      <c r="I464" s="36"/>
      <c r="J464" s="36"/>
      <c r="K464" s="25">
        <f t="shared" si="1"/>
        <v>0</v>
      </c>
      <c r="L464" s="25" t="str">
        <f>IF(I464=0,"",I464/F464*G464*LOOKUP(B464,L!A:A,L!C:C))</f>
        <v/>
      </c>
      <c r="M464" s="26">
        <f>IF(L464=MIN(L462:L464),1,0)</f>
        <v>0</v>
      </c>
    </row>
    <row r="465" ht="15.0" hidden="1" customHeight="1">
      <c r="A465" s="17" t="s">
        <v>57</v>
      </c>
      <c r="B465" s="18">
        <v>1.0</v>
      </c>
      <c r="C465" s="19" t="s">
        <v>287</v>
      </c>
      <c r="D465" s="21"/>
      <c r="E465" s="21"/>
      <c r="F465" s="22"/>
      <c r="G465" s="22">
        <v>1.0</v>
      </c>
      <c r="H465" s="35"/>
      <c r="I465" s="34"/>
      <c r="J465" s="34"/>
      <c r="K465" s="25">
        <f t="shared" si="1"/>
        <v>0</v>
      </c>
      <c r="L465" s="25" t="str">
        <f>IF(I465=0,"",I465/F465*G465*LOOKUP(B465,L!A:A,L!C:C))</f>
        <v/>
      </c>
      <c r="M465" s="26">
        <f>IF(L465=MIN(L465:L467),1,0)</f>
        <v>0</v>
      </c>
    </row>
    <row r="466" ht="15.0" hidden="1" customHeight="1">
      <c r="A466" s="27" t="s">
        <v>57</v>
      </c>
      <c r="B466" s="28">
        <v>2.0</v>
      </c>
      <c r="C466" s="29" t="s">
        <v>287</v>
      </c>
      <c r="D466" s="21"/>
      <c r="E466" s="21"/>
      <c r="F466" s="32">
        <v>2.0</v>
      </c>
      <c r="G466" s="30">
        <v>1.0</v>
      </c>
      <c r="H466" s="23"/>
      <c r="I466" s="31">
        <v>7020.0</v>
      </c>
      <c r="J466" s="31"/>
      <c r="K466" s="25">
        <f t="shared" si="1"/>
        <v>0</v>
      </c>
      <c r="L466" s="25">
        <f>IF(I466=0,"",I466/F466*G466*LOOKUP(B466,L!A:A,L!C:C))</f>
        <v>2632.5</v>
      </c>
      <c r="M466" s="26">
        <f>IF(L466=MIN(L465:L467),1,0)</f>
        <v>1</v>
      </c>
    </row>
    <row r="467" ht="15.0" hidden="1" customHeight="1">
      <c r="A467" s="17" t="s">
        <v>57</v>
      </c>
      <c r="B467" s="28">
        <v>4.0</v>
      </c>
      <c r="C467" s="29" t="s">
        <v>287</v>
      </c>
      <c r="D467" s="21"/>
      <c r="E467" s="21"/>
      <c r="F467" s="30"/>
      <c r="G467" s="30">
        <v>1.0</v>
      </c>
      <c r="H467" s="35"/>
      <c r="I467" s="36"/>
      <c r="J467" s="36"/>
      <c r="K467" s="25">
        <f t="shared" si="1"/>
        <v>0</v>
      </c>
      <c r="L467" s="25" t="str">
        <f>IF(I467=0,"",I467/F467*G467*LOOKUP(B467,L!A:A,L!C:C))</f>
        <v/>
      </c>
      <c r="M467" s="26">
        <f>IF(L467=MIN(L465:L467),1,0)</f>
        <v>0</v>
      </c>
    </row>
    <row r="468" ht="15.0" hidden="1" customHeight="1">
      <c r="A468" s="17" t="s">
        <v>48</v>
      </c>
      <c r="B468" s="18">
        <v>3.0</v>
      </c>
      <c r="C468" s="19" t="s">
        <v>288</v>
      </c>
      <c r="D468" s="21"/>
      <c r="E468" s="21"/>
      <c r="F468" s="38">
        <v>120.0</v>
      </c>
      <c r="G468" s="22">
        <v>1000.0</v>
      </c>
      <c r="H468" s="23"/>
      <c r="I468" s="24">
        <v>1929.0</v>
      </c>
      <c r="J468" s="24"/>
      <c r="K468" s="25">
        <f t="shared" si="1"/>
        <v>0</v>
      </c>
      <c r="L468" s="25">
        <f>IF(I468=0,"",I468/F468*G468*LOOKUP(B468,L!A:A,L!C:C))</f>
        <v>12056.25</v>
      </c>
      <c r="M468" s="26">
        <f>IF(L468=MIN(L468:L470),1,0)</f>
        <v>0</v>
      </c>
    </row>
    <row r="469" ht="15.0" hidden="1" customHeight="1">
      <c r="A469" s="27" t="s">
        <v>48</v>
      </c>
      <c r="B469" s="28">
        <v>2.0</v>
      </c>
      <c r="C469" s="29" t="s">
        <v>288</v>
      </c>
      <c r="D469" s="21"/>
      <c r="E469" s="21"/>
      <c r="F469" s="32">
        <v>120.0</v>
      </c>
      <c r="G469" s="30">
        <v>1000.0</v>
      </c>
      <c r="H469" s="23"/>
      <c r="I469" s="31">
        <v>1537.5</v>
      </c>
      <c r="J469" s="31"/>
      <c r="K469" s="25">
        <f t="shared" si="1"/>
        <v>0</v>
      </c>
      <c r="L469" s="25">
        <f>IF(I469=0,"",I469/F469*G469*LOOKUP(B469,L!A:A,L!C:C))</f>
        <v>9609.375</v>
      </c>
      <c r="M469" s="26">
        <f>IF(L469=MIN(L468:L470),1,0)</f>
        <v>1</v>
      </c>
    </row>
    <row r="470" ht="15.0" hidden="1" customHeight="1">
      <c r="A470" s="17" t="s">
        <v>48</v>
      </c>
      <c r="B470" s="28">
        <v>4.0</v>
      </c>
      <c r="C470" s="29" t="s">
        <v>288</v>
      </c>
      <c r="D470" s="21"/>
      <c r="E470" s="21" t="s">
        <v>289</v>
      </c>
      <c r="F470" s="32">
        <v>200.0</v>
      </c>
      <c r="G470" s="30">
        <v>1000.0</v>
      </c>
      <c r="H470" s="23"/>
      <c r="I470" s="31">
        <v>2219.0</v>
      </c>
      <c r="J470" s="31"/>
      <c r="K470" s="25">
        <f t="shared" si="1"/>
        <v>0</v>
      </c>
      <c r="L470" s="25">
        <f>IF(I470=0,"",I470/F470*G470*LOOKUP(B470,L!A:A,L!C:C))</f>
        <v>11095</v>
      </c>
      <c r="M470" s="26">
        <f>IF(L470=MIN(L468:L470),1,0)</f>
        <v>0</v>
      </c>
    </row>
    <row r="471" ht="15.0" customHeight="1">
      <c r="A471" s="33" t="s">
        <v>46</v>
      </c>
      <c r="B471" s="18">
        <v>1.0</v>
      </c>
      <c r="C471" s="37" t="s">
        <v>290</v>
      </c>
      <c r="D471" s="21"/>
      <c r="E471" s="21"/>
      <c r="F471" s="30">
        <v>1000.0</v>
      </c>
      <c r="G471" s="22">
        <v>1000.0</v>
      </c>
      <c r="H471" s="23">
        <v>0.0</v>
      </c>
      <c r="I471" s="24"/>
      <c r="J471" s="24"/>
      <c r="K471" s="25">
        <f t="shared" si="1"/>
        <v>0</v>
      </c>
      <c r="L471" s="25" t="str">
        <f>IF(I471=0,"",I471/F471*G471*LOOKUP(B471,L!A:A,L!C:C))</f>
        <v/>
      </c>
      <c r="M471" s="26">
        <f>IF(L471=MIN(L471:L473),1,0)</f>
        <v>0</v>
      </c>
    </row>
    <row r="472" ht="15.0" hidden="1" customHeight="1">
      <c r="A472" s="33" t="s">
        <v>46</v>
      </c>
      <c r="B472" s="28">
        <v>2.0</v>
      </c>
      <c r="C472" s="37" t="s">
        <v>290</v>
      </c>
      <c r="D472" s="21"/>
      <c r="E472" s="21"/>
      <c r="F472" s="30">
        <v>1000.0</v>
      </c>
      <c r="G472" s="30">
        <v>1000.0</v>
      </c>
      <c r="H472" s="35"/>
      <c r="I472" s="36"/>
      <c r="J472" s="36"/>
      <c r="K472" s="25">
        <f t="shared" si="1"/>
        <v>0</v>
      </c>
      <c r="L472" s="25" t="str">
        <f>IF(I472=0,"",I472/F472*G472*LOOKUP(B472,L!A:A,L!C:C))</f>
        <v/>
      </c>
      <c r="M472" s="26">
        <f>IF(L472=MIN(L471:L473),1,0)</f>
        <v>0</v>
      </c>
    </row>
    <row r="473" ht="15.0" hidden="1" customHeight="1">
      <c r="A473" s="33" t="s">
        <v>46</v>
      </c>
      <c r="B473" s="28">
        <v>4.0</v>
      </c>
      <c r="C473" s="37" t="s">
        <v>290</v>
      </c>
      <c r="D473" s="21"/>
      <c r="E473" s="21"/>
      <c r="F473" s="30">
        <v>1000.0</v>
      </c>
      <c r="G473" s="30">
        <v>1000.0</v>
      </c>
      <c r="H473" s="35"/>
      <c r="I473" s="36"/>
      <c r="J473" s="36"/>
      <c r="K473" s="25">
        <f t="shared" si="1"/>
        <v>0</v>
      </c>
      <c r="L473" s="25" t="str">
        <f>IF(I473=0,"",I473/F473*G473*LOOKUP(B473,L!A:A,L!C:C))</f>
        <v/>
      </c>
      <c r="M473" s="26">
        <f>IF(L473=MIN(L471:L473),1,0)</f>
        <v>0</v>
      </c>
    </row>
    <row r="474" ht="15.0" hidden="1" customHeight="1">
      <c r="A474" s="27" t="s">
        <v>145</v>
      </c>
      <c r="B474" s="18">
        <v>1.0</v>
      </c>
      <c r="C474" s="37" t="s">
        <v>291</v>
      </c>
      <c r="D474" s="20"/>
      <c r="E474" s="20"/>
      <c r="F474" s="32">
        <v>330.0</v>
      </c>
      <c r="G474" s="22">
        <v>1000.0</v>
      </c>
      <c r="H474" s="23"/>
      <c r="I474" s="24"/>
      <c r="J474" s="24"/>
      <c r="K474" s="25">
        <f t="shared" si="1"/>
        <v>0</v>
      </c>
      <c r="L474" s="25" t="str">
        <f>IF(I474=0,"",I474/F474*G474*LOOKUP(B474,L!A:A,L!C:C))</f>
        <v/>
      </c>
      <c r="M474" s="26">
        <f>IF(L474=MIN(L474:L476),1,0)</f>
        <v>0</v>
      </c>
    </row>
    <row r="475" ht="15.0" hidden="1" customHeight="1">
      <c r="A475" s="27" t="s">
        <v>145</v>
      </c>
      <c r="B475" s="28">
        <v>2.0</v>
      </c>
      <c r="C475" s="37" t="s">
        <v>291</v>
      </c>
      <c r="D475" s="21"/>
      <c r="E475" s="21"/>
      <c r="F475" s="32">
        <v>330.0</v>
      </c>
      <c r="G475" s="30">
        <v>1000.0</v>
      </c>
      <c r="H475" s="23"/>
      <c r="I475" s="31">
        <v>5150.0</v>
      </c>
      <c r="J475" s="31"/>
      <c r="K475" s="25">
        <f t="shared" si="1"/>
        <v>0</v>
      </c>
      <c r="L475" s="25">
        <f>IF(I475=0,"",I475/F475*G475*LOOKUP(B475,L!A:A,L!C:C))</f>
        <v>11704.54545</v>
      </c>
      <c r="M475" s="26">
        <f>IF(L475=MIN(L474:L476),1,0)</f>
        <v>1</v>
      </c>
    </row>
    <row r="476" ht="15.0" hidden="1" customHeight="1">
      <c r="A476" s="17" t="s">
        <v>145</v>
      </c>
      <c r="B476" s="28">
        <v>4.0</v>
      </c>
      <c r="C476" s="37" t="s">
        <v>291</v>
      </c>
      <c r="D476" s="21"/>
      <c r="E476" s="21"/>
      <c r="F476" s="32">
        <v>330.0</v>
      </c>
      <c r="G476" s="30">
        <v>1000.0</v>
      </c>
      <c r="H476" s="35"/>
      <c r="I476" s="36"/>
      <c r="J476" s="36"/>
      <c r="K476" s="25">
        <f t="shared" si="1"/>
        <v>0</v>
      </c>
      <c r="L476" s="25" t="str">
        <f>IF(I476=0,"",I476/F476*G476*LOOKUP(B476,L!A:A,L!C:C))</f>
        <v/>
      </c>
      <c r="M476" s="26">
        <f>IF(L476=MIN(L474:L476),1,0)</f>
        <v>0</v>
      </c>
    </row>
    <row r="477" ht="15.0" hidden="1" customHeight="1">
      <c r="A477" s="17" t="s">
        <v>163</v>
      </c>
      <c r="B477" s="18">
        <v>1.0</v>
      </c>
      <c r="C477" s="19" t="s">
        <v>292</v>
      </c>
      <c r="D477" s="21"/>
      <c r="E477" s="21" t="s">
        <v>293</v>
      </c>
      <c r="F477" s="38">
        <v>180.0</v>
      </c>
      <c r="G477" s="30">
        <v>1000.0</v>
      </c>
      <c r="H477" s="35"/>
      <c r="I477" s="34"/>
      <c r="J477" s="34"/>
      <c r="K477" s="25">
        <f t="shared" si="1"/>
        <v>0</v>
      </c>
      <c r="L477" s="25" t="str">
        <f>IF(I477=0,"",I477/F477*G477*LOOKUP(B477,L!A:A,L!C:C))</f>
        <v/>
      </c>
      <c r="M477" s="26">
        <f>IF(L477=MIN(L477:L479),1,0)</f>
        <v>0</v>
      </c>
    </row>
    <row r="478" ht="15.0" hidden="1" customHeight="1">
      <c r="A478" s="27" t="s">
        <v>163</v>
      </c>
      <c r="B478" s="28">
        <v>2.0</v>
      </c>
      <c r="C478" s="29" t="s">
        <v>292</v>
      </c>
      <c r="D478" s="21"/>
      <c r="E478" s="21" t="s">
        <v>294</v>
      </c>
      <c r="F478" s="32">
        <v>180.0</v>
      </c>
      <c r="G478" s="30">
        <v>1000.0</v>
      </c>
      <c r="H478" s="23"/>
      <c r="I478" s="31"/>
      <c r="J478" s="31"/>
      <c r="K478" s="25">
        <f t="shared" si="1"/>
        <v>0</v>
      </c>
      <c r="L478" s="25" t="str">
        <f>IF(I478=0,"",I478/F478*G478*LOOKUP(B478,L!A:A,L!C:C))</f>
        <v/>
      </c>
      <c r="M478" s="26">
        <f>IF(L478=MIN(L477:L479),1,0)</f>
        <v>0</v>
      </c>
    </row>
    <row r="479" ht="15.0" hidden="1" customHeight="1">
      <c r="A479" s="17" t="s">
        <v>163</v>
      </c>
      <c r="B479" s="28">
        <v>4.0</v>
      </c>
      <c r="C479" s="29" t="s">
        <v>292</v>
      </c>
      <c r="D479" s="21"/>
      <c r="E479" s="21"/>
      <c r="F479" s="30"/>
      <c r="G479" s="30">
        <v>1000.0</v>
      </c>
      <c r="H479" s="35"/>
      <c r="I479" s="36"/>
      <c r="J479" s="36"/>
      <c r="K479" s="25">
        <f t="shared" si="1"/>
        <v>0</v>
      </c>
      <c r="L479" s="25" t="str">
        <f>IF(I479=0,"",I479/F479*G479*LOOKUP(B479,L!A:A,L!C:C))</f>
        <v/>
      </c>
      <c r="M479" s="26">
        <f>IF(L479=MIN(L477:L479),1,0)</f>
        <v>0</v>
      </c>
    </row>
    <row r="480" ht="15.0" hidden="1" customHeight="1">
      <c r="A480" s="17" t="s">
        <v>41</v>
      </c>
      <c r="B480" s="18">
        <v>1.0</v>
      </c>
      <c r="C480" s="19" t="s">
        <v>295</v>
      </c>
      <c r="D480" s="21"/>
      <c r="E480" s="21"/>
      <c r="F480" s="22">
        <v>500.0</v>
      </c>
      <c r="G480" s="22">
        <v>1000.0</v>
      </c>
      <c r="H480" s="35"/>
      <c r="I480" s="34">
        <v>747.09</v>
      </c>
      <c r="J480" s="34"/>
      <c r="K480" s="25">
        <f t="shared" si="1"/>
        <v>0</v>
      </c>
      <c r="L480" s="25">
        <f>IF(I480=0,"",I480/F480*G480*LOOKUP(B480,L!A:A,L!C:C))</f>
        <v>971.217</v>
      </c>
      <c r="M480" s="26">
        <f>IF(L480=MIN(L480:L482),1,0)</f>
        <v>1</v>
      </c>
    </row>
    <row r="481" ht="15.0" hidden="1" customHeight="1">
      <c r="A481" s="27" t="s">
        <v>41</v>
      </c>
      <c r="B481" s="28">
        <v>2.0</v>
      </c>
      <c r="C481" s="29" t="s">
        <v>295</v>
      </c>
      <c r="D481" s="21"/>
      <c r="E481" s="21" t="s">
        <v>296</v>
      </c>
      <c r="F481" s="30">
        <v>500.0</v>
      </c>
      <c r="G481" s="30">
        <v>1000.0</v>
      </c>
      <c r="H481" s="35"/>
      <c r="I481" s="36"/>
      <c r="J481" s="36"/>
      <c r="K481" s="25">
        <f t="shared" si="1"/>
        <v>0</v>
      </c>
      <c r="L481" s="25" t="str">
        <f>IF(I481=0,"",I481/F481*G481*LOOKUP(B481,L!A:A,L!C:C))</f>
        <v/>
      </c>
      <c r="M481" s="26">
        <f>IF(L481=MIN(L480:L482),1,0)</f>
        <v>0</v>
      </c>
    </row>
    <row r="482" ht="15.0" hidden="1" customHeight="1">
      <c r="A482" s="17" t="s">
        <v>41</v>
      </c>
      <c r="B482" s="28">
        <v>4.0</v>
      </c>
      <c r="C482" s="29" t="s">
        <v>295</v>
      </c>
      <c r="D482" s="21"/>
      <c r="E482" s="21"/>
      <c r="F482" s="30"/>
      <c r="G482" s="30">
        <v>1000.0</v>
      </c>
      <c r="H482" s="35"/>
      <c r="I482" s="36"/>
      <c r="J482" s="36"/>
      <c r="K482" s="25">
        <f t="shared" si="1"/>
        <v>0</v>
      </c>
      <c r="L482" s="25" t="str">
        <f>IF(I482=0,"",I482/F482*G482*LOOKUP(B482,L!A:A,L!C:C))</f>
        <v/>
      </c>
      <c r="M482" s="26">
        <f>IF(L482=MIN(L480:L482),1,0)</f>
        <v>0</v>
      </c>
    </row>
    <row r="483" ht="15.0" hidden="1" customHeight="1">
      <c r="A483" s="17" t="s">
        <v>41</v>
      </c>
      <c r="B483" s="18">
        <v>1.0</v>
      </c>
      <c r="C483" s="19" t="s">
        <v>297</v>
      </c>
      <c r="D483" s="21"/>
      <c r="E483" s="21"/>
      <c r="F483" s="22">
        <v>1000.0</v>
      </c>
      <c r="G483" s="22">
        <v>1000.0</v>
      </c>
      <c r="H483" s="23"/>
      <c r="I483" s="34">
        <v>1567.85</v>
      </c>
      <c r="J483" s="34"/>
      <c r="K483" s="25">
        <f t="shared" si="1"/>
        <v>0</v>
      </c>
      <c r="L483" s="25">
        <f>IF(I483=0,"",I483/F483*G483*LOOKUP(B483,L!A:A,L!C:C))</f>
        <v>1019.1025</v>
      </c>
      <c r="M483" s="26">
        <f>IF(L483=MIN(L483:L485),1,0)</f>
        <v>1</v>
      </c>
    </row>
    <row r="484" ht="15.0" hidden="1" customHeight="1">
      <c r="A484" s="27" t="s">
        <v>41</v>
      </c>
      <c r="B484" s="28">
        <v>2.0</v>
      </c>
      <c r="C484" s="29" t="s">
        <v>297</v>
      </c>
      <c r="D484" s="21"/>
      <c r="E484" s="21"/>
      <c r="F484" s="30"/>
      <c r="G484" s="30">
        <v>1000.0</v>
      </c>
      <c r="H484" s="35"/>
      <c r="I484" s="36"/>
      <c r="J484" s="36"/>
      <c r="K484" s="25">
        <f t="shared" si="1"/>
        <v>0</v>
      </c>
      <c r="L484" s="25" t="str">
        <f>IF(I484=0,"",I484/F484*G484*LOOKUP(B484,L!A:A,L!C:C))</f>
        <v/>
      </c>
      <c r="M484" s="26">
        <f>IF(L484=MIN(L483:L485),1,0)</f>
        <v>0</v>
      </c>
    </row>
    <row r="485" ht="15.0" hidden="1" customHeight="1">
      <c r="A485" s="17" t="s">
        <v>41</v>
      </c>
      <c r="B485" s="28">
        <v>4.0</v>
      </c>
      <c r="C485" s="29" t="s">
        <v>297</v>
      </c>
      <c r="D485" s="21"/>
      <c r="E485" s="21"/>
      <c r="F485" s="30"/>
      <c r="G485" s="30">
        <v>1000.0</v>
      </c>
      <c r="H485" s="35"/>
      <c r="I485" s="36"/>
      <c r="J485" s="36"/>
      <c r="K485" s="25">
        <f t="shared" si="1"/>
        <v>0</v>
      </c>
      <c r="L485" s="25" t="str">
        <f>IF(I485=0,"",I485/F485*G485*LOOKUP(B485,L!A:A,L!C:C))</f>
        <v/>
      </c>
      <c r="M485" s="26">
        <f>IF(L485=MIN(L483:L485),1,0)</f>
        <v>0</v>
      </c>
    </row>
    <row r="486" ht="15.0" hidden="1" customHeight="1">
      <c r="A486" s="17" t="s">
        <v>41</v>
      </c>
      <c r="B486" s="18">
        <v>1.0</v>
      </c>
      <c r="C486" s="19" t="s">
        <v>298</v>
      </c>
      <c r="D486" s="21"/>
      <c r="E486" s="20" t="s">
        <v>125</v>
      </c>
      <c r="F486" s="38">
        <v>50.0</v>
      </c>
      <c r="G486" s="22">
        <v>1000.0</v>
      </c>
      <c r="H486" s="23"/>
      <c r="I486" s="24">
        <v>2733.89</v>
      </c>
      <c r="J486" s="24"/>
      <c r="K486" s="25">
        <f t="shared" si="1"/>
        <v>0</v>
      </c>
      <c r="L486" s="25">
        <f>IF(I486=0,"",I486/F486*G486*LOOKUP(B486,L!A:A,L!C:C))</f>
        <v>35540.57</v>
      </c>
      <c r="M486" s="26">
        <f>IF(L486=MIN(L486:L488),1,0)</f>
        <v>1</v>
      </c>
    </row>
    <row r="487" ht="15.0" hidden="1" customHeight="1">
      <c r="A487" s="27" t="s">
        <v>41</v>
      </c>
      <c r="B487" s="28">
        <v>2.0</v>
      </c>
      <c r="C487" s="29" t="s">
        <v>298</v>
      </c>
      <c r="D487" s="21"/>
      <c r="E487" s="21"/>
      <c r="F487" s="30"/>
      <c r="G487" s="30">
        <v>1000.0</v>
      </c>
      <c r="H487" s="35"/>
      <c r="I487" s="36"/>
      <c r="J487" s="36"/>
      <c r="K487" s="25">
        <f t="shared" si="1"/>
        <v>0</v>
      </c>
      <c r="L487" s="25" t="str">
        <f>IF(I487=0,"",I487/F487*G487*LOOKUP(B487,L!A:A,L!C:C))</f>
        <v/>
      </c>
      <c r="M487" s="26">
        <f>IF(L487=MIN(L486:L488),1,0)</f>
        <v>0</v>
      </c>
    </row>
    <row r="488" ht="15.0" hidden="1" customHeight="1">
      <c r="A488" s="17" t="s">
        <v>41</v>
      </c>
      <c r="B488" s="28">
        <v>4.0</v>
      </c>
      <c r="C488" s="29" t="s">
        <v>298</v>
      </c>
      <c r="D488" s="21"/>
      <c r="E488" s="21"/>
      <c r="F488" s="30"/>
      <c r="G488" s="30">
        <v>1000.0</v>
      </c>
      <c r="H488" s="35"/>
      <c r="I488" s="36"/>
      <c r="J488" s="36"/>
      <c r="K488" s="25">
        <f t="shared" si="1"/>
        <v>0</v>
      </c>
      <c r="L488" s="25" t="str">
        <f>IF(I488=0,"",I488/F488*G488*LOOKUP(B488,L!A:A,L!C:C))</f>
        <v/>
      </c>
      <c r="M488" s="26">
        <f>IF(L488=MIN(L486:L488),1,0)</f>
        <v>0</v>
      </c>
    </row>
    <row r="489" ht="15.0" hidden="1" customHeight="1">
      <c r="A489" s="17" t="s">
        <v>48</v>
      </c>
      <c r="B489" s="18">
        <v>1.0</v>
      </c>
      <c r="C489" s="19" t="s">
        <v>299</v>
      </c>
      <c r="D489" s="21"/>
      <c r="E489" s="21"/>
      <c r="F489" s="22">
        <v>1.0</v>
      </c>
      <c r="G489" s="22">
        <v>1.0</v>
      </c>
      <c r="H489" s="35"/>
      <c r="I489" s="34"/>
      <c r="J489" s="34"/>
      <c r="K489" s="25">
        <f t="shared" si="1"/>
        <v>0</v>
      </c>
      <c r="L489" s="25" t="str">
        <f>IF(I489=0,"",I489/F489*G489*LOOKUP(B489,L!A:A,L!C:C))</f>
        <v/>
      </c>
      <c r="M489" s="26">
        <f>IF(L489=MIN(L489:L491),1,0)</f>
        <v>0</v>
      </c>
    </row>
    <row r="490" ht="15.0" hidden="1" customHeight="1">
      <c r="A490" s="27" t="s">
        <v>48</v>
      </c>
      <c r="B490" s="28">
        <v>2.0</v>
      </c>
      <c r="C490" s="29" t="s">
        <v>299</v>
      </c>
      <c r="D490" s="21"/>
      <c r="E490" s="21"/>
      <c r="F490" s="30">
        <v>1.0</v>
      </c>
      <c r="G490" s="30">
        <v>1.0</v>
      </c>
      <c r="H490" s="35"/>
      <c r="I490" s="36">
        <v>5550.0</v>
      </c>
      <c r="J490" s="36"/>
      <c r="K490" s="25">
        <f t="shared" si="1"/>
        <v>0</v>
      </c>
      <c r="L490" s="25">
        <f>IF(I490=0,"",I490/F490*G490*LOOKUP(B490,L!A:A,L!C:C))</f>
        <v>4162.5</v>
      </c>
      <c r="M490" s="26">
        <f>IF(L490=MIN(L489:L491),1,0)</f>
        <v>1</v>
      </c>
    </row>
    <row r="491" ht="15.0" hidden="1" customHeight="1">
      <c r="A491" s="17" t="s">
        <v>48</v>
      </c>
      <c r="B491" s="28">
        <v>4.0</v>
      </c>
      <c r="C491" s="29" t="s">
        <v>299</v>
      </c>
      <c r="D491" s="21"/>
      <c r="E491" s="21"/>
      <c r="F491" s="30"/>
      <c r="G491" s="30">
        <v>1.0</v>
      </c>
      <c r="H491" s="35"/>
      <c r="I491" s="36"/>
      <c r="J491" s="36"/>
      <c r="K491" s="25">
        <f t="shared" si="1"/>
        <v>0</v>
      </c>
      <c r="L491" s="25" t="str">
        <f>IF(I491=0,"",I491/F491*G491*LOOKUP(B491,L!A:A,L!C:C))</f>
        <v/>
      </c>
      <c r="M491" s="26">
        <f>IF(L491=MIN(L489:L491),1,0)</f>
        <v>0</v>
      </c>
    </row>
    <row r="492" ht="15.0" hidden="1" customHeight="1">
      <c r="A492" s="17" t="s">
        <v>57</v>
      </c>
      <c r="B492" s="18">
        <v>1.0</v>
      </c>
      <c r="C492" s="19" t="s">
        <v>300</v>
      </c>
      <c r="D492" s="21"/>
      <c r="E492" s="21"/>
      <c r="F492" s="22"/>
      <c r="G492" s="22">
        <v>1000.0</v>
      </c>
      <c r="H492" s="35"/>
      <c r="I492" s="34"/>
      <c r="J492" s="34"/>
      <c r="K492" s="25">
        <f t="shared" si="1"/>
        <v>0</v>
      </c>
      <c r="L492" s="25" t="str">
        <f>IF(I492=0,"",I492/F492*G492*LOOKUP(B492,L!A:A,L!C:C))</f>
        <v/>
      </c>
      <c r="M492" s="26">
        <f>IF(L492=MIN(L492:L494),1,0)</f>
        <v>0</v>
      </c>
    </row>
    <row r="493" ht="15.0" hidden="1" customHeight="1">
      <c r="A493" s="27" t="s">
        <v>57</v>
      </c>
      <c r="B493" s="28">
        <v>2.0</v>
      </c>
      <c r="C493" s="29" t="s">
        <v>300</v>
      </c>
      <c r="D493" s="21"/>
      <c r="E493" s="21"/>
      <c r="F493" s="30">
        <v>200.0</v>
      </c>
      <c r="G493" s="30">
        <v>1000.0</v>
      </c>
      <c r="H493" s="23"/>
      <c r="I493" s="31">
        <v>4380.0</v>
      </c>
      <c r="J493" s="31"/>
      <c r="K493" s="25">
        <f t="shared" si="1"/>
        <v>0</v>
      </c>
      <c r="L493" s="25">
        <f>IF(I493=0,"",I493/F493*G493*LOOKUP(B493,L!A:A,L!C:C))</f>
        <v>16425</v>
      </c>
      <c r="M493" s="26">
        <f>IF(L493=MIN(L492:L494),1,0)</f>
        <v>1</v>
      </c>
    </row>
    <row r="494" ht="15.0" hidden="1" customHeight="1">
      <c r="A494" s="17" t="s">
        <v>57</v>
      </c>
      <c r="B494" s="28">
        <v>4.0</v>
      </c>
      <c r="C494" s="29" t="s">
        <v>300</v>
      </c>
      <c r="D494" s="21"/>
      <c r="E494" s="21"/>
      <c r="F494" s="30">
        <v>350.0</v>
      </c>
      <c r="G494" s="30">
        <v>1000.0</v>
      </c>
      <c r="H494" s="23"/>
      <c r="I494" s="31">
        <v>6890.0</v>
      </c>
      <c r="J494" s="31"/>
      <c r="K494" s="25">
        <f t="shared" si="1"/>
        <v>0</v>
      </c>
      <c r="L494" s="25">
        <f>IF(I494=0,"",I494/F494*G494*LOOKUP(B494,L!A:A,L!C:C))</f>
        <v>19685.71429</v>
      </c>
      <c r="M494" s="26">
        <f>IF(L494=MIN(L492:L494),1,0)</f>
        <v>0</v>
      </c>
    </row>
    <row r="495" ht="15.0" hidden="1" customHeight="1">
      <c r="A495" s="17" t="s">
        <v>57</v>
      </c>
      <c r="B495" s="18">
        <v>1.0</v>
      </c>
      <c r="C495" s="19" t="s">
        <v>301</v>
      </c>
      <c r="D495" s="21"/>
      <c r="E495" s="21"/>
      <c r="F495" s="22">
        <v>1000.0</v>
      </c>
      <c r="G495" s="22">
        <v>1000.0</v>
      </c>
      <c r="H495" s="23"/>
      <c r="I495" s="24">
        <v>4480.75</v>
      </c>
      <c r="J495" s="24"/>
      <c r="K495" s="25">
        <f t="shared" si="1"/>
        <v>0</v>
      </c>
      <c r="L495" s="25">
        <f>IF(I495=0,"",I495/F495*G495*LOOKUP(B495,L!A:A,L!C:C))</f>
        <v>2912.4875</v>
      </c>
      <c r="M495" s="26">
        <f>IF(L495=MIN(L495:L497),1,0)</f>
        <v>1</v>
      </c>
    </row>
    <row r="496" ht="15.0" hidden="1" customHeight="1">
      <c r="A496" s="27" t="s">
        <v>57</v>
      </c>
      <c r="B496" s="28">
        <v>2.0</v>
      </c>
      <c r="C496" s="29" t="s">
        <v>301</v>
      </c>
      <c r="D496" s="21"/>
      <c r="E496" s="21"/>
      <c r="F496" s="30">
        <v>1000.0</v>
      </c>
      <c r="G496" s="30">
        <v>1000.0</v>
      </c>
      <c r="H496" s="35"/>
      <c r="I496" s="36"/>
      <c r="J496" s="36"/>
      <c r="K496" s="25">
        <f t="shared" si="1"/>
        <v>0</v>
      </c>
      <c r="L496" s="25" t="str">
        <f>IF(I496=0,"",I496/F496*G496*LOOKUP(B496,L!A:A,L!C:C))</f>
        <v/>
      </c>
      <c r="M496" s="26">
        <f>IF(L496=MIN(L495:L497),1,0)</f>
        <v>0</v>
      </c>
    </row>
    <row r="497" ht="15.0" hidden="1" customHeight="1">
      <c r="A497" s="17" t="s">
        <v>57</v>
      </c>
      <c r="B497" s="28">
        <v>6.0</v>
      </c>
      <c r="C497" s="29" t="s">
        <v>301</v>
      </c>
      <c r="D497" s="21"/>
      <c r="E497" s="21"/>
      <c r="F497" s="30">
        <v>1000.0</v>
      </c>
      <c r="G497" s="30">
        <v>1000.0</v>
      </c>
      <c r="H497" s="35"/>
      <c r="I497" s="31"/>
      <c r="J497" s="31"/>
      <c r="K497" s="25">
        <f t="shared" si="1"/>
        <v>0</v>
      </c>
      <c r="L497" s="25" t="str">
        <f>IF(I497=0,"",I497/F497*G497*LOOKUP(B497,L!A:A,L!C:C))</f>
        <v/>
      </c>
      <c r="M497" s="26">
        <f>IF(L497=MIN(L495:L497),1,0)</f>
        <v>0</v>
      </c>
    </row>
    <row r="498" ht="15.0" hidden="1" customHeight="1">
      <c r="A498" s="17" t="s">
        <v>51</v>
      </c>
      <c r="B498" s="18">
        <v>1.0</v>
      </c>
      <c r="C498" s="19" t="s">
        <v>302</v>
      </c>
      <c r="D498" s="21"/>
      <c r="E498" s="20"/>
      <c r="F498" s="22">
        <v>2000.0</v>
      </c>
      <c r="G498" s="22">
        <v>1000.0</v>
      </c>
      <c r="H498" s="23"/>
      <c r="I498" s="24"/>
      <c r="J498" s="24"/>
      <c r="K498" s="25">
        <f t="shared" si="1"/>
        <v>0</v>
      </c>
      <c r="L498" s="25" t="str">
        <f>IF(I498=0,"",I498/F498*G498*LOOKUP(B498,L!A:A,L!C:C))</f>
        <v/>
      </c>
      <c r="M498" s="26">
        <f>IF(L498=MIN(L498:L500),1,0)</f>
        <v>0</v>
      </c>
    </row>
    <row r="499" ht="15.0" hidden="1" customHeight="1">
      <c r="A499" s="27" t="s">
        <v>51</v>
      </c>
      <c r="B499" s="28">
        <v>2.0</v>
      </c>
      <c r="C499" s="29" t="s">
        <v>302</v>
      </c>
      <c r="D499" s="21"/>
      <c r="E499" s="21"/>
      <c r="F499" s="30">
        <v>2000.0</v>
      </c>
      <c r="G499" s="30">
        <v>1000.0</v>
      </c>
      <c r="H499" s="35"/>
      <c r="I499" s="31"/>
      <c r="J499" s="31"/>
      <c r="K499" s="25">
        <f t="shared" si="1"/>
        <v>0</v>
      </c>
      <c r="L499" s="25" t="str">
        <f>IF(I499=0,"",I499/F499*G499*LOOKUP(B499,L!A:A,L!C:C))</f>
        <v/>
      </c>
      <c r="M499" s="26">
        <f>IF(L499=MIN(L498:L500),1,0)</f>
        <v>0</v>
      </c>
    </row>
    <row r="500" ht="15.0" hidden="1" customHeight="1">
      <c r="A500" s="17" t="s">
        <v>51</v>
      </c>
      <c r="B500" s="28">
        <v>3.0</v>
      </c>
      <c r="C500" s="29" t="s">
        <v>302</v>
      </c>
      <c r="D500" s="21"/>
      <c r="E500" s="20"/>
      <c r="F500" s="30">
        <v>2000.0</v>
      </c>
      <c r="G500" s="30">
        <v>1000.0</v>
      </c>
      <c r="H500" s="23"/>
      <c r="I500" s="31"/>
      <c r="J500" s="31"/>
      <c r="K500" s="25">
        <f t="shared" si="1"/>
        <v>0</v>
      </c>
      <c r="L500" s="25" t="str">
        <f>IF(I500=0,"",I500/F500*G500*LOOKUP(B500,L!A:A,L!C:C))</f>
        <v/>
      </c>
      <c r="M500" s="26">
        <f>IF(L500=MIN(L498:L500),1,0)</f>
        <v>0</v>
      </c>
    </row>
    <row r="501" ht="15.0" hidden="1" customHeight="1">
      <c r="A501" s="17" t="s">
        <v>163</v>
      </c>
      <c r="B501" s="18">
        <v>1.0</v>
      </c>
      <c r="C501" s="19" t="s">
        <v>303</v>
      </c>
      <c r="D501" s="21"/>
      <c r="E501" s="21"/>
      <c r="F501" s="38">
        <v>400.0</v>
      </c>
      <c r="G501" s="30">
        <v>1000.0</v>
      </c>
      <c r="H501" s="23"/>
      <c r="I501" s="24">
        <v>1996.85</v>
      </c>
      <c r="J501" s="24"/>
      <c r="K501" s="25">
        <f t="shared" si="1"/>
        <v>0</v>
      </c>
      <c r="L501" s="25">
        <f>IF(I501=0,"",I501/F501*G501*LOOKUP(B501,L!A:A,L!C:C))</f>
        <v>3244.88125</v>
      </c>
      <c r="M501" s="26">
        <f>IF(L501=MIN(L501:L503),1,0)</f>
        <v>0</v>
      </c>
    </row>
    <row r="502" ht="15.0" hidden="1" customHeight="1">
      <c r="A502" s="27" t="s">
        <v>163</v>
      </c>
      <c r="B502" s="28">
        <v>2.0</v>
      </c>
      <c r="C502" s="29" t="s">
        <v>303</v>
      </c>
      <c r="D502" s="21"/>
      <c r="E502" s="21"/>
      <c r="F502" s="32">
        <v>400.0</v>
      </c>
      <c r="G502" s="30">
        <v>1000.0</v>
      </c>
      <c r="H502" s="23"/>
      <c r="I502" s="31">
        <v>1550.0</v>
      </c>
      <c r="J502" s="31"/>
      <c r="K502" s="25">
        <f t="shared" si="1"/>
        <v>0</v>
      </c>
      <c r="L502" s="25">
        <f>IF(I502=0,"",I502/F502*G502*LOOKUP(B502,L!A:A,L!C:C))</f>
        <v>2906.25</v>
      </c>
      <c r="M502" s="26">
        <f>IF(L502=MIN(L501:L503),1,0)</f>
        <v>1</v>
      </c>
    </row>
    <row r="503" ht="15.0" hidden="1" customHeight="1">
      <c r="A503" s="17" t="s">
        <v>163</v>
      </c>
      <c r="B503" s="28">
        <v>4.0</v>
      </c>
      <c r="C503" s="29" t="s">
        <v>303</v>
      </c>
      <c r="D503" s="21"/>
      <c r="E503" s="21"/>
      <c r="F503" s="32">
        <v>400.0</v>
      </c>
      <c r="G503" s="30">
        <v>1000.0</v>
      </c>
      <c r="H503" s="23"/>
      <c r="I503" s="31">
        <v>2209.0</v>
      </c>
      <c r="J503" s="31"/>
      <c r="K503" s="25">
        <f t="shared" si="1"/>
        <v>0</v>
      </c>
      <c r="L503" s="25">
        <f>IF(I503=0,"",I503/F503*G503*LOOKUP(B503,L!A:A,L!C:C))</f>
        <v>5522.5</v>
      </c>
      <c r="M503" s="26">
        <f>IF(L503=MIN(L501:L503),1,0)</f>
        <v>0</v>
      </c>
    </row>
    <row r="504" ht="15.0" hidden="1" customHeight="1">
      <c r="A504" s="17" t="s">
        <v>163</v>
      </c>
      <c r="B504" s="18">
        <v>1.0</v>
      </c>
      <c r="C504" s="29" t="s">
        <v>304</v>
      </c>
      <c r="D504" s="21"/>
      <c r="E504" s="21"/>
      <c r="F504" s="38">
        <v>1.0</v>
      </c>
      <c r="G504" s="22">
        <v>1000.0</v>
      </c>
      <c r="H504" s="23"/>
      <c r="I504" s="24">
        <v>2761.75</v>
      </c>
      <c r="J504" s="24"/>
      <c r="K504" s="25">
        <f t="shared" si="1"/>
        <v>0</v>
      </c>
      <c r="L504" s="25">
        <f>IF(I504=0,"",I504/F504*G504*LOOKUP(B504,L!A:A,L!C:C))</f>
        <v>1795137.5</v>
      </c>
      <c r="M504" s="26">
        <f>IF(L504=MIN(L504:L506),1,0)</f>
        <v>1</v>
      </c>
    </row>
    <row r="505" ht="15.0" hidden="1" customHeight="1">
      <c r="A505" s="27" t="s">
        <v>163</v>
      </c>
      <c r="B505" s="28">
        <v>2.0</v>
      </c>
      <c r="C505" s="29" t="s">
        <v>304</v>
      </c>
      <c r="D505" s="21"/>
      <c r="E505" s="21"/>
      <c r="F505" s="30"/>
      <c r="G505" s="30">
        <v>1000.0</v>
      </c>
      <c r="H505" s="35"/>
      <c r="I505" s="36"/>
      <c r="J505" s="36"/>
      <c r="K505" s="25">
        <f t="shared" si="1"/>
        <v>0</v>
      </c>
      <c r="L505" s="25" t="str">
        <f>IF(I505=0,"",I505/F505*G505*LOOKUP(B505,L!A:A,L!C:C))</f>
        <v/>
      </c>
      <c r="M505" s="26">
        <f>IF(L505=MIN(L504:L506),1,0)</f>
        <v>0</v>
      </c>
    </row>
    <row r="506" ht="15.0" hidden="1" customHeight="1">
      <c r="A506" s="17" t="s">
        <v>163</v>
      </c>
      <c r="B506" s="28">
        <v>4.0</v>
      </c>
      <c r="C506" s="29" t="s">
        <v>304</v>
      </c>
      <c r="D506" s="21"/>
      <c r="E506" s="21"/>
      <c r="F506" s="30"/>
      <c r="G506" s="30">
        <v>1000.0</v>
      </c>
      <c r="H506" s="35"/>
      <c r="I506" s="36"/>
      <c r="J506" s="36"/>
      <c r="K506" s="25">
        <f t="shared" si="1"/>
        <v>0</v>
      </c>
      <c r="L506" s="25" t="str">
        <f>IF(I506=0,"",I506/F506*G506*LOOKUP(B506,L!A:A,L!C:C))</f>
        <v/>
      </c>
      <c r="M506" s="26">
        <f>IF(L506=MIN(L504:L506),1,0)</f>
        <v>0</v>
      </c>
    </row>
    <row r="507" ht="15.0" customHeight="1">
      <c r="A507" s="27" t="s">
        <v>84</v>
      </c>
      <c r="B507" s="18">
        <v>1.0</v>
      </c>
      <c r="C507" s="29" t="s">
        <v>305</v>
      </c>
      <c r="D507" s="21"/>
      <c r="E507" s="21"/>
      <c r="F507" s="38">
        <v>25.0</v>
      </c>
      <c r="G507" s="22">
        <v>1000.0</v>
      </c>
      <c r="H507" s="23">
        <v>0.0</v>
      </c>
      <c r="I507" s="24">
        <v>888.49</v>
      </c>
      <c r="J507" s="34"/>
      <c r="K507" s="25">
        <f t="shared" si="1"/>
        <v>0</v>
      </c>
      <c r="L507" s="25">
        <f>IF(I507=0,"",I507/F507*G507*LOOKUP(B507,L!A:A,L!C:C))</f>
        <v>23100.74</v>
      </c>
      <c r="M507" s="26">
        <f>IF(L507=MIN(L507:L509),1,0)</f>
        <v>1</v>
      </c>
    </row>
    <row r="508" ht="15.0" hidden="1" customHeight="1">
      <c r="A508" s="27" t="s">
        <v>84</v>
      </c>
      <c r="B508" s="28">
        <v>2.0</v>
      </c>
      <c r="C508" s="29" t="s">
        <v>305</v>
      </c>
      <c r="D508" s="21"/>
      <c r="E508" s="21"/>
      <c r="F508" s="30">
        <v>50.0</v>
      </c>
      <c r="G508" s="38">
        <v>1000.0</v>
      </c>
      <c r="H508" s="23"/>
      <c r="I508" s="31"/>
      <c r="J508" s="31"/>
      <c r="K508" s="25">
        <f t="shared" si="1"/>
        <v>0</v>
      </c>
      <c r="L508" s="25" t="str">
        <f>IF(I508=0,"",I508/F508*G508*LOOKUP(B508,L!A:A,L!C:C))</f>
        <v/>
      </c>
      <c r="M508" s="26">
        <f>IF(L508=MIN(L507:L509),1,0)</f>
        <v>0</v>
      </c>
    </row>
    <row r="509" ht="15.0" hidden="1" customHeight="1">
      <c r="A509" s="17" t="s">
        <v>84</v>
      </c>
      <c r="B509" s="28">
        <v>4.0</v>
      </c>
      <c r="C509" s="29" t="s">
        <v>305</v>
      </c>
      <c r="D509" s="21"/>
      <c r="E509" s="21"/>
      <c r="F509" s="30">
        <v>50.0</v>
      </c>
      <c r="G509" s="38">
        <v>1000.0</v>
      </c>
      <c r="H509" s="23"/>
      <c r="I509" s="31"/>
      <c r="J509" s="31"/>
      <c r="K509" s="25">
        <f t="shared" si="1"/>
        <v>0</v>
      </c>
      <c r="L509" s="25" t="str">
        <f>IF(I509=0,"",I509/F509*G509*LOOKUP(B509,L!A:A,L!C:C))</f>
        <v/>
      </c>
      <c r="M509" s="26">
        <f>IF(L509=MIN(L507:L509),1,0)</f>
        <v>0</v>
      </c>
    </row>
    <row r="510" ht="15.0" hidden="1" customHeight="1">
      <c r="A510" s="17" t="s">
        <v>84</v>
      </c>
      <c r="B510" s="18">
        <v>1.0</v>
      </c>
      <c r="C510" s="19" t="s">
        <v>306</v>
      </c>
      <c r="D510" s="21"/>
      <c r="E510" s="20" t="s">
        <v>307</v>
      </c>
      <c r="F510" s="38">
        <v>20.0</v>
      </c>
      <c r="G510" s="38">
        <v>1000.0</v>
      </c>
      <c r="H510" s="23"/>
      <c r="I510" s="24">
        <v>1716.99</v>
      </c>
      <c r="J510" s="24"/>
      <c r="K510" s="25">
        <f t="shared" si="1"/>
        <v>0</v>
      </c>
      <c r="L510" s="25">
        <f>IF(I510=0,"",I510/F510*G510*LOOKUP(B510,L!A:A,L!C:C))</f>
        <v>55802.175</v>
      </c>
      <c r="M510" s="26">
        <f>IF(L510=MIN(L510:L512),1,0)</f>
        <v>1</v>
      </c>
    </row>
    <row r="511" ht="15.0" hidden="1" customHeight="1">
      <c r="A511" s="27" t="s">
        <v>84</v>
      </c>
      <c r="B511" s="28">
        <v>2.0</v>
      </c>
      <c r="C511" s="29" t="s">
        <v>306</v>
      </c>
      <c r="D511" s="20"/>
      <c r="E511" s="20" t="s">
        <v>308</v>
      </c>
      <c r="F511" s="32">
        <v>20.0</v>
      </c>
      <c r="G511" s="38">
        <v>1000.0</v>
      </c>
      <c r="H511" s="23"/>
      <c r="I511" s="31">
        <v>1650.0</v>
      </c>
      <c r="J511" s="31"/>
      <c r="K511" s="25">
        <f t="shared" si="1"/>
        <v>0</v>
      </c>
      <c r="L511" s="25">
        <f>IF(I511=0,"",I511/F511*G511*LOOKUP(B511,L!A:A,L!C:C))</f>
        <v>61875</v>
      </c>
      <c r="M511" s="26">
        <f>IF(L511=MIN(L510:L512),1,0)</f>
        <v>0</v>
      </c>
    </row>
    <row r="512" ht="15.0" hidden="1" customHeight="1">
      <c r="A512" s="17" t="s">
        <v>84</v>
      </c>
      <c r="B512" s="28">
        <v>4.0</v>
      </c>
      <c r="C512" s="29" t="s">
        <v>306</v>
      </c>
      <c r="D512" s="21"/>
      <c r="E512" s="21"/>
      <c r="F512" s="32">
        <v>25.0</v>
      </c>
      <c r="G512" s="38">
        <v>1000.0</v>
      </c>
      <c r="H512" s="23"/>
      <c r="I512" s="31"/>
      <c r="J512" s="36"/>
      <c r="K512" s="25">
        <f t="shared" si="1"/>
        <v>0</v>
      </c>
      <c r="L512" s="25" t="str">
        <f>IF(I512=0,"",I512/F512*G512*LOOKUP(B512,L!A:A,L!C:C))</f>
        <v/>
      </c>
      <c r="M512" s="26">
        <f>IF(L512=MIN(L510:L512),1,0)</f>
        <v>0</v>
      </c>
    </row>
    <row r="513" ht="15.0" hidden="1" customHeight="1">
      <c r="A513" s="17" t="s">
        <v>84</v>
      </c>
      <c r="B513" s="18">
        <v>1.0</v>
      </c>
      <c r="C513" s="19" t="s">
        <v>309</v>
      </c>
      <c r="D513" s="21"/>
      <c r="E513" s="21"/>
      <c r="F513" s="22">
        <v>25.0</v>
      </c>
      <c r="G513" s="38">
        <v>1000.0</v>
      </c>
      <c r="H513" s="23"/>
      <c r="I513" s="24">
        <f>+1196.35+2361.15</f>
        <v>3557.5</v>
      </c>
      <c r="J513" s="24"/>
      <c r="K513" s="25">
        <f t="shared" si="1"/>
        <v>0</v>
      </c>
      <c r="L513" s="25">
        <f>IF(I513=0,"",I513/F513*G513*LOOKUP(B513,L!A:A,L!C:C))</f>
        <v>92495</v>
      </c>
      <c r="M513" s="26">
        <f>IF(L513=MIN(L513:L515),1,0)</f>
        <v>1</v>
      </c>
    </row>
    <row r="514" ht="15.0" hidden="1" customHeight="1">
      <c r="A514" s="27" t="s">
        <v>84</v>
      </c>
      <c r="B514" s="28">
        <v>6.0</v>
      </c>
      <c r="C514" s="29" t="s">
        <v>309</v>
      </c>
      <c r="D514" s="21"/>
      <c r="E514" s="21"/>
      <c r="F514" s="32">
        <v>20.0</v>
      </c>
      <c r="G514" s="38">
        <v>1000.0</v>
      </c>
      <c r="H514" s="23"/>
      <c r="I514" s="31"/>
      <c r="J514" s="31"/>
      <c r="K514" s="25">
        <f t="shared" si="1"/>
        <v>0</v>
      </c>
      <c r="L514" s="25" t="str">
        <f>IF(I514=0,"",I514/F514*G514*LOOKUP(B514,L!A:A,L!C:C))</f>
        <v/>
      </c>
      <c r="M514" s="26">
        <f>IF(L514=MIN(L513:L515),1,0)</f>
        <v>0</v>
      </c>
    </row>
    <row r="515" ht="15.0" hidden="1" customHeight="1">
      <c r="A515" s="17" t="s">
        <v>84</v>
      </c>
      <c r="B515" s="28">
        <v>4.0</v>
      </c>
      <c r="C515" s="29" t="s">
        <v>309</v>
      </c>
      <c r="D515" s="21"/>
      <c r="E515" s="20"/>
      <c r="F515" s="30">
        <v>25.0</v>
      </c>
      <c r="G515" s="38">
        <v>1000.0</v>
      </c>
      <c r="H515" s="23"/>
      <c r="I515" s="31"/>
      <c r="J515" s="31"/>
      <c r="K515" s="25">
        <f t="shared" si="1"/>
        <v>0</v>
      </c>
      <c r="L515" s="25" t="str">
        <f>IF(I515=0,"",I515/F515*G515*LOOKUP(B515,L!A:A,L!C:C))</f>
        <v/>
      </c>
      <c r="M515" s="26">
        <f>IF(L515=MIN(L513:L515),1,0)</f>
        <v>0</v>
      </c>
    </row>
    <row r="516" ht="15.0" hidden="1" customHeight="1">
      <c r="A516" s="17" t="s">
        <v>55</v>
      </c>
      <c r="B516" s="18">
        <v>1.0</v>
      </c>
      <c r="C516" s="19" t="s">
        <v>310</v>
      </c>
      <c r="D516" s="21"/>
      <c r="E516" s="21"/>
      <c r="F516" s="22">
        <v>1000.0</v>
      </c>
      <c r="G516" s="22">
        <v>1000.0</v>
      </c>
      <c r="H516" s="35"/>
      <c r="I516" s="34"/>
      <c r="J516" s="34"/>
      <c r="K516" s="25">
        <f t="shared" si="1"/>
        <v>0</v>
      </c>
      <c r="L516" s="25" t="str">
        <f>IF(I516=0,"",I516/F516*G516*LOOKUP(B516,L!A:A,L!C:C))</f>
        <v/>
      </c>
      <c r="M516" s="26">
        <f>IF(L516=MIN(L516:L518),1,0)</f>
        <v>0</v>
      </c>
    </row>
    <row r="517" ht="15.0" hidden="1" customHeight="1">
      <c r="A517" s="27" t="s">
        <v>55</v>
      </c>
      <c r="B517" s="28">
        <v>2.0</v>
      </c>
      <c r="C517" s="29" t="s">
        <v>310</v>
      </c>
      <c r="D517" s="21"/>
      <c r="E517" s="21"/>
      <c r="F517" s="30"/>
      <c r="G517" s="30">
        <v>1000.0</v>
      </c>
      <c r="H517" s="35"/>
      <c r="I517" s="36"/>
      <c r="J517" s="36"/>
      <c r="K517" s="25">
        <f t="shared" si="1"/>
        <v>0</v>
      </c>
      <c r="L517" s="25" t="str">
        <f>IF(I517=0,"",I517/F517*G517*LOOKUP(B517,L!A:A,L!C:C))</f>
        <v/>
      </c>
      <c r="M517" s="26">
        <f>IF(L517=MIN(L516:L518),1,0)</f>
        <v>0</v>
      </c>
    </row>
    <row r="518" ht="15.0" hidden="1" customHeight="1">
      <c r="A518" s="17" t="s">
        <v>55</v>
      </c>
      <c r="B518" s="28">
        <v>4.0</v>
      </c>
      <c r="C518" s="29" t="s">
        <v>310</v>
      </c>
      <c r="D518" s="21"/>
      <c r="E518" s="21"/>
      <c r="F518" s="30"/>
      <c r="G518" s="30">
        <v>1000.0</v>
      </c>
      <c r="H518" s="35"/>
      <c r="I518" s="36"/>
      <c r="J518" s="36"/>
      <c r="K518" s="25">
        <f t="shared" si="1"/>
        <v>0</v>
      </c>
      <c r="L518" s="25" t="str">
        <f>IF(I518=0,"",I518/F518*G518*LOOKUP(B518,L!A:A,L!C:C))</f>
        <v/>
      </c>
      <c r="M518" s="26">
        <f>IF(L518=MIN(L516:L518),1,0)</f>
        <v>0</v>
      </c>
    </row>
    <row r="519" ht="15.0" hidden="1" customHeight="1">
      <c r="A519" s="33" t="s">
        <v>46</v>
      </c>
      <c r="B519" s="18">
        <v>1.0</v>
      </c>
      <c r="C519" s="29" t="s">
        <v>311</v>
      </c>
      <c r="D519" s="21"/>
      <c r="E519" s="21"/>
      <c r="F519" s="22">
        <v>1000.0</v>
      </c>
      <c r="G519" s="22">
        <v>1000.0</v>
      </c>
      <c r="H519" s="23"/>
      <c r="I519" s="24">
        <v>2349.0</v>
      </c>
      <c r="J519" s="24"/>
      <c r="K519" s="25">
        <f t="shared" si="1"/>
        <v>0</v>
      </c>
      <c r="L519" s="25">
        <f>IF(I519=0,"",I519/F519*G519*LOOKUP(B519,L!A:A,L!C:C))</f>
        <v>1526.85</v>
      </c>
      <c r="M519" s="26">
        <f>IF(L519=MIN(L519:L521),1,0)</f>
        <v>1</v>
      </c>
    </row>
    <row r="520" ht="15.0" hidden="1" customHeight="1">
      <c r="A520" s="33" t="s">
        <v>46</v>
      </c>
      <c r="B520" s="28">
        <v>2.0</v>
      </c>
      <c r="C520" s="29" t="s">
        <v>311</v>
      </c>
      <c r="D520" s="21"/>
      <c r="E520" s="21"/>
      <c r="F520" s="30"/>
      <c r="G520" s="30">
        <v>1000.0</v>
      </c>
      <c r="H520" s="23"/>
      <c r="I520" s="36"/>
      <c r="J520" s="36"/>
      <c r="K520" s="25">
        <f t="shared" si="1"/>
        <v>0</v>
      </c>
      <c r="L520" s="25" t="str">
        <f>IF(I520=0,"",I520/F520*G520*LOOKUP(B520,L!A:A,L!C:C))</f>
        <v/>
      </c>
      <c r="M520" s="26">
        <f>IF(L520=MIN(L519:L521),1,0)</f>
        <v>0</v>
      </c>
    </row>
    <row r="521" ht="15.0" hidden="1" customHeight="1">
      <c r="A521" s="33" t="s">
        <v>46</v>
      </c>
      <c r="B521" s="28">
        <v>4.0</v>
      </c>
      <c r="C521" s="29" t="s">
        <v>311</v>
      </c>
      <c r="D521" s="21"/>
      <c r="E521" s="21"/>
      <c r="F521" s="30">
        <v>1000.0</v>
      </c>
      <c r="G521" s="30">
        <v>1000.0</v>
      </c>
      <c r="H521" s="23"/>
      <c r="I521" s="31">
        <v>1899.0</v>
      </c>
      <c r="J521" s="31"/>
      <c r="K521" s="25">
        <f t="shared" si="1"/>
        <v>0</v>
      </c>
      <c r="L521" s="25">
        <f>IF(I521=0,"",I521/F521*G521*LOOKUP(B521,L!A:A,L!C:C))</f>
        <v>1899</v>
      </c>
      <c r="M521" s="26">
        <f>IF(L521=MIN(L519:L521),1,0)</f>
        <v>0</v>
      </c>
    </row>
    <row r="522" ht="15.0" hidden="1" customHeight="1">
      <c r="A522" s="33" t="s">
        <v>71</v>
      </c>
      <c r="B522" s="18">
        <v>1.0</v>
      </c>
      <c r="C522" s="37" t="s">
        <v>312</v>
      </c>
      <c r="D522" s="21"/>
      <c r="E522" s="21"/>
      <c r="F522" s="22">
        <v>500.0</v>
      </c>
      <c r="G522" s="22">
        <v>1000.0</v>
      </c>
      <c r="H522" s="35"/>
      <c r="I522" s="34"/>
      <c r="J522" s="34"/>
      <c r="K522" s="25">
        <f t="shared" si="1"/>
        <v>0</v>
      </c>
      <c r="L522" s="25" t="str">
        <f>IF(I522=0,"",I522/F522*G522*LOOKUP(B522,L!A:A,L!C:C))</f>
        <v/>
      </c>
      <c r="M522" s="26">
        <f>IF(L522=MIN(L522:L524),1,0)</f>
        <v>0</v>
      </c>
    </row>
    <row r="523" ht="15.0" hidden="1" customHeight="1">
      <c r="A523" s="33" t="s">
        <v>71</v>
      </c>
      <c r="B523" s="28">
        <v>2.0</v>
      </c>
      <c r="C523" s="37" t="s">
        <v>312</v>
      </c>
      <c r="D523" s="21"/>
      <c r="E523" s="21"/>
      <c r="F523" s="32">
        <v>500.0</v>
      </c>
      <c r="G523" s="30">
        <v>1000.0</v>
      </c>
      <c r="H523" s="23"/>
      <c r="I523" s="31">
        <v>2400.0</v>
      </c>
      <c r="J523" s="31"/>
      <c r="K523" s="25">
        <f t="shared" si="1"/>
        <v>0</v>
      </c>
      <c r="L523" s="25">
        <f>IF(I523=0,"",I523/F523*G523*LOOKUP(B523,L!A:A,L!C:C))</f>
        <v>3600</v>
      </c>
      <c r="M523" s="26">
        <f>IF(L523=MIN(L522:L524),1,0)</f>
        <v>1</v>
      </c>
    </row>
    <row r="524" ht="15.0" hidden="1" customHeight="1">
      <c r="A524" s="33" t="s">
        <v>71</v>
      </c>
      <c r="B524" s="28">
        <v>4.0</v>
      </c>
      <c r="C524" s="37" t="s">
        <v>312</v>
      </c>
      <c r="D524" s="21"/>
      <c r="E524" s="21"/>
      <c r="F524" s="30"/>
      <c r="G524" s="30">
        <v>1000.0</v>
      </c>
      <c r="H524" s="35"/>
      <c r="I524" s="36"/>
      <c r="J524" s="36"/>
      <c r="K524" s="25">
        <f t="shared" si="1"/>
        <v>0</v>
      </c>
      <c r="L524" s="25" t="str">
        <f>IF(I524=0,"",I524/F524*G524*LOOKUP(B524,L!A:A,L!C:C))</f>
        <v/>
      </c>
      <c r="M524" s="26">
        <f>IF(L524=MIN(L522:L524),1,0)</f>
        <v>0</v>
      </c>
    </row>
    <row r="525" ht="15.0" hidden="1" customHeight="1">
      <c r="A525" s="33" t="s">
        <v>71</v>
      </c>
      <c r="B525" s="18">
        <v>1.0</v>
      </c>
      <c r="C525" s="37" t="s">
        <v>313</v>
      </c>
      <c r="D525" s="21"/>
      <c r="E525" s="21"/>
      <c r="F525" s="22">
        <v>500.0</v>
      </c>
      <c r="G525" s="22">
        <v>1000.0</v>
      </c>
      <c r="H525" s="23"/>
      <c r="I525" s="24">
        <v>1023.35</v>
      </c>
      <c r="J525" s="24"/>
      <c r="K525" s="25">
        <f t="shared" si="1"/>
        <v>0</v>
      </c>
      <c r="L525" s="25">
        <f>IF(I525=0,"",I525/F525*G525*LOOKUP(B525,L!A:A,L!C:C))</f>
        <v>1330.355</v>
      </c>
      <c r="M525" s="26">
        <f>IF(L525=MIN(L525:L527),1,0)</f>
        <v>1</v>
      </c>
    </row>
    <row r="526" ht="15.0" hidden="1" customHeight="1">
      <c r="A526" s="33" t="s">
        <v>71</v>
      </c>
      <c r="B526" s="28">
        <v>2.0</v>
      </c>
      <c r="C526" s="39" t="s">
        <v>313</v>
      </c>
      <c r="D526" s="21"/>
      <c r="E526" s="21"/>
      <c r="F526" s="32">
        <v>500.0</v>
      </c>
      <c r="G526" s="30">
        <v>1000.0</v>
      </c>
      <c r="H526" s="23"/>
      <c r="I526" s="31"/>
      <c r="J526" s="31"/>
      <c r="K526" s="25">
        <f t="shared" si="1"/>
        <v>0</v>
      </c>
      <c r="L526" s="25" t="str">
        <f>IF(I526=0,"",I526/F526*G526*LOOKUP(B526,L!A:A,L!C:C))</f>
        <v/>
      </c>
      <c r="M526" s="26">
        <f>IF(L526=MIN(L525:L527),1,0)</f>
        <v>0</v>
      </c>
    </row>
    <row r="527" ht="15.0" hidden="1" customHeight="1">
      <c r="A527" s="33" t="s">
        <v>71</v>
      </c>
      <c r="B527" s="28">
        <v>4.0</v>
      </c>
      <c r="C527" s="39" t="s">
        <v>313</v>
      </c>
      <c r="D527" s="21"/>
      <c r="E527" s="21"/>
      <c r="F527" s="30"/>
      <c r="G527" s="30">
        <v>1000.0</v>
      </c>
      <c r="H527" s="23"/>
      <c r="I527" s="36"/>
      <c r="J527" s="36"/>
      <c r="K527" s="25">
        <f t="shared" si="1"/>
        <v>0</v>
      </c>
      <c r="L527" s="25" t="str">
        <f>IF(I527=0,"",I527/F527*G527*LOOKUP(B527,L!A:A,L!C:C))</f>
        <v/>
      </c>
      <c r="M527" s="26">
        <f>IF(L527=MIN(L525:L527),1,0)</f>
        <v>0</v>
      </c>
    </row>
    <row r="528" ht="15.0" hidden="1" customHeight="1">
      <c r="A528" s="17" t="s">
        <v>89</v>
      </c>
      <c r="B528" s="18">
        <v>1.0</v>
      </c>
      <c r="C528" s="19" t="s">
        <v>314</v>
      </c>
      <c r="D528" s="21"/>
      <c r="E528" s="21"/>
      <c r="F528" s="22"/>
      <c r="G528" s="22">
        <v>1000.0</v>
      </c>
      <c r="H528" s="23"/>
      <c r="I528" s="34"/>
      <c r="J528" s="34"/>
      <c r="K528" s="25">
        <f t="shared" si="1"/>
        <v>0</v>
      </c>
      <c r="L528" s="25" t="str">
        <f>IF(I528=0,"",I528/F528*G528*LOOKUP(B528,L!A:A,L!C:C))</f>
        <v/>
      </c>
      <c r="M528" s="26">
        <f>IF(L528=MIN(L528:L530),1,0)</f>
        <v>0</v>
      </c>
    </row>
    <row r="529" ht="15.0" hidden="1" customHeight="1">
      <c r="A529" s="27" t="s">
        <v>89</v>
      </c>
      <c r="B529" s="28">
        <v>2.0</v>
      </c>
      <c r="C529" s="29" t="s">
        <v>314</v>
      </c>
      <c r="D529" s="21"/>
      <c r="E529" s="21"/>
      <c r="F529" s="30">
        <v>120.0</v>
      </c>
      <c r="G529" s="30">
        <v>1000.0</v>
      </c>
      <c r="H529" s="35"/>
      <c r="I529" s="36"/>
      <c r="J529" s="36"/>
      <c r="K529" s="25">
        <f t="shared" si="1"/>
        <v>0</v>
      </c>
      <c r="L529" s="25" t="str">
        <f>IF(I529=0,"",I529/F529*G529*LOOKUP(B529,L!A:A,L!C:C))</f>
        <v/>
      </c>
      <c r="M529" s="26">
        <f>IF(L529=MIN(L528:L530),1,0)</f>
        <v>0</v>
      </c>
    </row>
    <row r="530" ht="15.0" hidden="1" customHeight="1">
      <c r="A530" s="17" t="s">
        <v>89</v>
      </c>
      <c r="B530" s="28">
        <v>4.0</v>
      </c>
      <c r="C530" s="29" t="s">
        <v>314</v>
      </c>
      <c r="D530" s="21"/>
      <c r="E530" s="21"/>
      <c r="F530" s="30"/>
      <c r="G530" s="30">
        <v>1000.0</v>
      </c>
      <c r="H530" s="35"/>
      <c r="I530" s="36"/>
      <c r="J530" s="36"/>
      <c r="K530" s="25">
        <f t="shared" si="1"/>
        <v>0</v>
      </c>
      <c r="L530" s="25" t="str">
        <f>IF(I530=0,"",I530/F530*G530*LOOKUP(B530,L!A:A,L!C:C))</f>
        <v/>
      </c>
      <c r="M530" s="26">
        <f>IF(L530=MIN(L528:L530),1,0)</f>
        <v>0</v>
      </c>
    </row>
    <row r="531" ht="15.0" hidden="1" customHeight="1">
      <c r="A531" s="17" t="s">
        <v>59</v>
      </c>
      <c r="B531" s="18">
        <v>1.0</v>
      </c>
      <c r="C531" s="19" t="s">
        <v>315</v>
      </c>
      <c r="D531" s="22"/>
      <c r="E531" s="22"/>
      <c r="F531" s="22">
        <v>25.0</v>
      </c>
      <c r="G531" s="22">
        <v>1000.0</v>
      </c>
      <c r="H531" s="23"/>
      <c r="I531" s="24">
        <v>362.85</v>
      </c>
      <c r="J531" s="24"/>
      <c r="K531" s="25">
        <f t="shared" si="1"/>
        <v>0</v>
      </c>
      <c r="L531" s="25">
        <f>IF(I531=0,"",I531/F531*G531*LOOKUP(B531,L!A:A,L!C:C))</f>
        <v>9434.1</v>
      </c>
      <c r="M531" s="26">
        <f>IF(L531=MIN(L531:L533),1,0)</f>
        <v>1</v>
      </c>
    </row>
    <row r="532" ht="15.0" hidden="1" customHeight="1">
      <c r="A532" s="27" t="s">
        <v>59</v>
      </c>
      <c r="B532" s="28">
        <v>2.0</v>
      </c>
      <c r="C532" s="29" t="s">
        <v>315</v>
      </c>
      <c r="D532" s="21"/>
      <c r="E532" s="21"/>
      <c r="F532" s="30">
        <v>15.0</v>
      </c>
      <c r="G532" s="30">
        <v>1000.0</v>
      </c>
      <c r="H532" s="35"/>
      <c r="I532" s="36">
        <v>364.0</v>
      </c>
      <c r="J532" s="36"/>
      <c r="K532" s="25">
        <f t="shared" si="1"/>
        <v>0</v>
      </c>
      <c r="L532" s="25">
        <f>IF(I532=0,"",I532/F532*G532*LOOKUP(B532,L!A:A,L!C:C))</f>
        <v>18200</v>
      </c>
      <c r="M532" s="26">
        <f>IF(L532=MIN(L531:L533),1,0)</f>
        <v>0</v>
      </c>
    </row>
    <row r="533" ht="15.0" hidden="1" customHeight="1">
      <c r="A533" s="17" t="s">
        <v>59</v>
      </c>
      <c r="B533" s="28">
        <v>4.0</v>
      </c>
      <c r="C533" s="29" t="s">
        <v>315</v>
      </c>
      <c r="D533" s="21"/>
      <c r="E533" s="21"/>
      <c r="F533" s="30"/>
      <c r="G533" s="30">
        <v>1000.0</v>
      </c>
      <c r="H533" s="35"/>
      <c r="I533" s="36"/>
      <c r="J533" s="36"/>
      <c r="K533" s="25">
        <f t="shared" si="1"/>
        <v>0</v>
      </c>
      <c r="L533" s="25" t="str">
        <f>IF(I533=0,"",I533/F533*G533*LOOKUP(B533,L!A:A,L!C:C))</f>
        <v/>
      </c>
      <c r="M533" s="26">
        <f>IF(L533=MIN(L531:L533),1,0)</f>
        <v>0</v>
      </c>
    </row>
    <row r="534" ht="15.0" hidden="1" customHeight="1">
      <c r="A534" s="33" t="s">
        <v>65</v>
      </c>
      <c r="B534" s="18">
        <v>1.0</v>
      </c>
      <c r="C534" s="19" t="s">
        <v>316</v>
      </c>
      <c r="D534" s="21"/>
      <c r="E534" s="21"/>
      <c r="F534" s="22">
        <v>1000.0</v>
      </c>
      <c r="G534" s="22">
        <v>1000.0</v>
      </c>
      <c r="H534" s="35"/>
      <c r="I534" s="34"/>
      <c r="J534" s="34"/>
      <c r="K534" s="25">
        <f t="shared" si="1"/>
        <v>0</v>
      </c>
      <c r="L534" s="25" t="str">
        <f>IF(I534=0,"",I534/F534*G534*LOOKUP(B534,L!A:A,L!C:C))</f>
        <v/>
      </c>
      <c r="M534" s="26">
        <f>IF(L534=MIN(L534:L536),1,0)</f>
        <v>0</v>
      </c>
    </row>
    <row r="535" ht="15.0" hidden="1" customHeight="1">
      <c r="A535" s="33" t="s">
        <v>65</v>
      </c>
      <c r="B535" s="28">
        <v>2.0</v>
      </c>
      <c r="C535" s="29" t="s">
        <v>316</v>
      </c>
      <c r="D535" s="21"/>
      <c r="E535" s="21"/>
      <c r="F535" s="30"/>
      <c r="G535" s="30">
        <v>1000.0</v>
      </c>
      <c r="H535" s="35"/>
      <c r="I535" s="36"/>
      <c r="J535" s="36"/>
      <c r="K535" s="25">
        <f t="shared" si="1"/>
        <v>0</v>
      </c>
      <c r="L535" s="25" t="str">
        <f>IF(I535=0,"",I535/F535*G535*LOOKUP(B535,L!A:A,L!C:C))</f>
        <v/>
      </c>
      <c r="M535" s="26">
        <f>IF(L535=MIN(L534:L536),1,0)</f>
        <v>0</v>
      </c>
    </row>
    <row r="536" ht="15.0" hidden="1" customHeight="1">
      <c r="A536" s="33" t="s">
        <v>65</v>
      </c>
      <c r="B536" s="28">
        <v>4.0</v>
      </c>
      <c r="C536" s="29" t="s">
        <v>316</v>
      </c>
      <c r="D536" s="21"/>
      <c r="E536" s="21"/>
      <c r="F536" s="30"/>
      <c r="G536" s="30">
        <v>1000.0</v>
      </c>
      <c r="H536" s="35"/>
      <c r="I536" s="36"/>
      <c r="J536" s="36"/>
      <c r="K536" s="25">
        <f t="shared" si="1"/>
        <v>0</v>
      </c>
      <c r="L536" s="25" t="str">
        <f>IF(I536=0,"",I536/F536*G536*LOOKUP(B536,L!A:A,L!C:C))</f>
        <v/>
      </c>
      <c r="M536" s="26">
        <f>IF(L536=MIN(L534:L536),1,0)</f>
        <v>0</v>
      </c>
    </row>
    <row r="537" ht="15.0" hidden="1" customHeight="1">
      <c r="A537" s="33" t="s">
        <v>145</v>
      </c>
      <c r="B537" s="18">
        <v>1.0</v>
      </c>
      <c r="C537" s="37" t="s">
        <v>317</v>
      </c>
      <c r="D537" s="21"/>
      <c r="E537" s="21"/>
      <c r="F537" s="38">
        <v>240.0</v>
      </c>
      <c r="G537" s="22">
        <v>1000.0</v>
      </c>
      <c r="H537" s="23"/>
      <c r="I537" s="24">
        <v>1653.49</v>
      </c>
      <c r="J537" s="24"/>
      <c r="K537" s="25">
        <f t="shared" si="1"/>
        <v>0</v>
      </c>
      <c r="L537" s="25">
        <f>IF(I537=0,"",I537/F537*G537*LOOKUP(B537,L!A:A,L!C:C))</f>
        <v>4478.202083</v>
      </c>
      <c r="M537" s="26">
        <f>IF(L537=MIN(L537:L539),1,0)</f>
        <v>1</v>
      </c>
    </row>
    <row r="538" ht="15.0" hidden="1" customHeight="1">
      <c r="A538" s="33" t="s">
        <v>145</v>
      </c>
      <c r="B538" s="28">
        <v>2.0</v>
      </c>
      <c r="C538" s="37" t="s">
        <v>317</v>
      </c>
      <c r="D538" s="21"/>
      <c r="E538" s="21"/>
      <c r="F538" s="30"/>
      <c r="G538" s="30">
        <v>1000.0</v>
      </c>
      <c r="H538" s="35"/>
      <c r="I538" s="36"/>
      <c r="J538" s="36"/>
      <c r="K538" s="25">
        <f t="shared" si="1"/>
        <v>0</v>
      </c>
      <c r="L538" s="25" t="str">
        <f>IF(I538=0,"",I538/F538*G538*LOOKUP(B538,L!A:A,L!C:C))</f>
        <v/>
      </c>
      <c r="M538" s="26">
        <f>IF(L538=MIN(L537:L539),1,0)</f>
        <v>0</v>
      </c>
    </row>
    <row r="539" ht="15.0" hidden="1" customHeight="1">
      <c r="A539" s="33" t="s">
        <v>145</v>
      </c>
      <c r="B539" s="28">
        <v>4.0</v>
      </c>
      <c r="C539" s="37" t="s">
        <v>317</v>
      </c>
      <c r="D539" s="21"/>
      <c r="E539" s="21"/>
      <c r="F539" s="30"/>
      <c r="G539" s="30">
        <v>1000.0</v>
      </c>
      <c r="H539" s="35"/>
      <c r="I539" s="36"/>
      <c r="J539" s="36"/>
      <c r="K539" s="25">
        <f t="shared" si="1"/>
        <v>0</v>
      </c>
      <c r="L539" s="25" t="str">
        <f>IF(I539=0,"",I539/F539*G539*LOOKUP(B539,L!A:A,L!C:C))</f>
        <v/>
      </c>
      <c r="M539" s="26">
        <f>IF(L539=MIN(L537:L539),1,0)</f>
        <v>0</v>
      </c>
    </row>
    <row r="540" ht="15.0" hidden="1" customHeight="1">
      <c r="A540" s="17" t="s">
        <v>145</v>
      </c>
      <c r="B540" s="18">
        <v>1.0</v>
      </c>
      <c r="C540" s="19" t="s">
        <v>318</v>
      </c>
      <c r="D540" s="21"/>
      <c r="E540" s="21"/>
      <c r="F540" s="22">
        <v>300.0</v>
      </c>
      <c r="G540" s="22">
        <v>1000.0</v>
      </c>
      <c r="H540" s="35"/>
      <c r="I540" s="34"/>
      <c r="J540" s="34"/>
      <c r="K540" s="25">
        <f t="shared" si="1"/>
        <v>0</v>
      </c>
      <c r="L540" s="25" t="str">
        <f>IF(I540=0,"",I540/F540*G540*LOOKUP(B540,L!A:A,L!C:C))</f>
        <v/>
      </c>
      <c r="M540" s="26">
        <f>IF(L540=MIN(L540:L542),1,0)</f>
        <v>0</v>
      </c>
    </row>
    <row r="541" ht="15.0" hidden="1" customHeight="1">
      <c r="A541" s="27" t="s">
        <v>145</v>
      </c>
      <c r="B541" s="28">
        <v>2.0</v>
      </c>
      <c r="C541" s="19" t="s">
        <v>318</v>
      </c>
      <c r="D541" s="21"/>
      <c r="E541" s="21"/>
      <c r="F541" s="30"/>
      <c r="G541" s="30">
        <v>1000.0</v>
      </c>
      <c r="H541" s="35"/>
      <c r="I541" s="36"/>
      <c r="J541" s="36"/>
      <c r="K541" s="25">
        <f t="shared" si="1"/>
        <v>0</v>
      </c>
      <c r="L541" s="25" t="str">
        <f>IF(I541=0,"",I541/F541*G541*LOOKUP(B541,L!A:A,L!C:C))</f>
        <v/>
      </c>
      <c r="M541" s="26">
        <f>IF(L541=MIN(L540:L542),1,0)</f>
        <v>0</v>
      </c>
    </row>
    <row r="542" ht="15.0" hidden="1" customHeight="1">
      <c r="A542" s="17" t="s">
        <v>145</v>
      </c>
      <c r="B542" s="28">
        <v>4.0</v>
      </c>
      <c r="C542" s="19" t="s">
        <v>318</v>
      </c>
      <c r="D542" s="21"/>
      <c r="E542" s="21"/>
      <c r="F542" s="30"/>
      <c r="G542" s="30">
        <v>1000.0</v>
      </c>
      <c r="H542" s="35"/>
      <c r="I542" s="36"/>
      <c r="J542" s="36"/>
      <c r="K542" s="25">
        <f t="shared" si="1"/>
        <v>0</v>
      </c>
      <c r="L542" s="25" t="str">
        <f>IF(I542=0,"",I542/F542*G542*LOOKUP(B542,L!A:A,L!C:C))</f>
        <v/>
      </c>
      <c r="M542" s="26">
        <f>IF(L542=MIN(L540:L542),1,0)</f>
        <v>0</v>
      </c>
    </row>
    <row r="543" ht="15.0" hidden="1" customHeight="1">
      <c r="A543" s="17" t="s">
        <v>68</v>
      </c>
      <c r="B543" s="18">
        <v>1.0</v>
      </c>
      <c r="C543" s="19" t="s">
        <v>319</v>
      </c>
      <c r="D543" s="21"/>
      <c r="E543" s="21"/>
      <c r="F543" s="22">
        <v>1.0</v>
      </c>
      <c r="G543" s="22">
        <v>1.0</v>
      </c>
      <c r="H543" s="35"/>
      <c r="I543" s="34"/>
      <c r="J543" s="34"/>
      <c r="K543" s="25">
        <f t="shared" si="1"/>
        <v>0</v>
      </c>
      <c r="L543" s="25" t="str">
        <f>IF(I543=0,"",I543/F543*G543*LOOKUP(B543,L!A:A,L!C:C))</f>
        <v/>
      </c>
      <c r="M543" s="26">
        <f>IF(L543=MIN(L543:L545),1,0)</f>
        <v>0</v>
      </c>
    </row>
    <row r="544" ht="15.0" hidden="1" customHeight="1">
      <c r="A544" s="27" t="s">
        <v>68</v>
      </c>
      <c r="B544" s="28">
        <v>2.0</v>
      </c>
      <c r="C544" s="29" t="s">
        <v>319</v>
      </c>
      <c r="D544" s="21"/>
      <c r="E544" s="21"/>
      <c r="F544" s="30">
        <v>1.0</v>
      </c>
      <c r="G544" s="30">
        <v>1.0</v>
      </c>
      <c r="H544" s="35"/>
      <c r="I544" s="36"/>
      <c r="J544" s="36"/>
      <c r="K544" s="25">
        <f t="shared" si="1"/>
        <v>0</v>
      </c>
      <c r="L544" s="25" t="str">
        <f>IF(I544=0,"",I544/F544*G544*LOOKUP(B544,L!A:A,L!C:C))</f>
        <v/>
      </c>
      <c r="M544" s="26">
        <f>IF(L544=MIN(L543:L545),1,0)</f>
        <v>0</v>
      </c>
    </row>
    <row r="545" ht="15.0" hidden="1" customHeight="1">
      <c r="A545" s="17" t="s">
        <v>68</v>
      </c>
      <c r="B545" s="28">
        <v>4.0</v>
      </c>
      <c r="C545" s="29" t="s">
        <v>319</v>
      </c>
      <c r="D545" s="21"/>
      <c r="E545" s="21"/>
      <c r="F545" s="30">
        <v>1.0</v>
      </c>
      <c r="G545" s="30">
        <v>1.0</v>
      </c>
      <c r="H545" s="35"/>
      <c r="I545" s="31"/>
      <c r="J545" s="31"/>
      <c r="K545" s="25">
        <f t="shared" si="1"/>
        <v>0</v>
      </c>
      <c r="L545" s="25" t="str">
        <f>IF(I545=0,"",I545/F545*G545*LOOKUP(B545,L!A:A,L!C:C))</f>
        <v/>
      </c>
      <c r="M545" s="26">
        <f>IF(L545=MIN(L543:L545),1,0)</f>
        <v>0</v>
      </c>
    </row>
    <row r="546" ht="15.0" hidden="1" customHeight="1">
      <c r="A546" s="17" t="s">
        <v>51</v>
      </c>
      <c r="B546" s="18">
        <v>1.0</v>
      </c>
      <c r="C546" s="37" t="s">
        <v>320</v>
      </c>
      <c r="D546" s="20"/>
      <c r="E546" s="20"/>
      <c r="F546" s="22">
        <v>750.0</v>
      </c>
      <c r="G546" s="22">
        <v>1000.0</v>
      </c>
      <c r="H546" s="23"/>
      <c r="I546" s="24"/>
      <c r="J546" s="24"/>
      <c r="K546" s="25">
        <f t="shared" si="1"/>
        <v>0</v>
      </c>
      <c r="L546" s="25" t="str">
        <f>IF(I546=0,"",I546/F546*G546*LOOKUP(B546,L!A:A,L!C:C))</f>
        <v/>
      </c>
      <c r="M546" s="26">
        <f>IF(L546=MIN(L546:L548),1,0)</f>
        <v>0</v>
      </c>
    </row>
    <row r="547" ht="15.0" hidden="1" customHeight="1">
      <c r="A547" s="27" t="s">
        <v>51</v>
      </c>
      <c r="B547" s="28">
        <v>4.0</v>
      </c>
      <c r="C547" s="37" t="s">
        <v>320</v>
      </c>
      <c r="D547" s="21"/>
      <c r="E547" s="21"/>
      <c r="F547" s="30">
        <v>750.0</v>
      </c>
      <c r="G547" s="30">
        <v>1000.0</v>
      </c>
      <c r="H547" s="35"/>
      <c r="I547" s="36"/>
      <c r="J547" s="36"/>
      <c r="K547" s="25">
        <f t="shared" si="1"/>
        <v>0</v>
      </c>
      <c r="L547" s="25" t="str">
        <f>IF(I547=0,"",I547/F547*G547*LOOKUP(B547,L!A:A,L!C:C))</f>
        <v/>
      </c>
      <c r="M547" s="26">
        <f>IF(L547=MIN(L546:L548),1,0)</f>
        <v>0</v>
      </c>
    </row>
    <row r="548" ht="15.0" hidden="1" customHeight="1">
      <c r="A548" s="17" t="s">
        <v>51</v>
      </c>
      <c r="B548" s="28">
        <v>3.0</v>
      </c>
      <c r="C548" s="37" t="s">
        <v>320</v>
      </c>
      <c r="D548" s="21"/>
      <c r="E548" s="20" t="s">
        <v>321</v>
      </c>
      <c r="F548" s="30">
        <v>750.0</v>
      </c>
      <c r="G548" s="30">
        <v>1000.0</v>
      </c>
      <c r="H548" s="23">
        <v>0.0</v>
      </c>
      <c r="I548" s="31">
        <v>7271.94</v>
      </c>
      <c r="J548" s="36"/>
      <c r="K548" s="25">
        <f t="shared" si="1"/>
        <v>0</v>
      </c>
      <c r="L548" s="25">
        <f>IF(I548=0,"",I548/F548*G548*LOOKUP(B548,L!A:A,L!C:C))</f>
        <v>7271.94</v>
      </c>
      <c r="M548" s="26">
        <f>IF(L548=MIN(L546:L548),1,0)</f>
        <v>1</v>
      </c>
    </row>
    <row r="549" ht="15.0" hidden="1" customHeight="1">
      <c r="A549" s="17" t="s">
        <v>51</v>
      </c>
      <c r="B549" s="18">
        <v>1.0</v>
      </c>
      <c r="C549" s="37" t="s">
        <v>322</v>
      </c>
      <c r="D549" s="20"/>
      <c r="E549" s="20"/>
      <c r="F549" s="22">
        <v>750.0</v>
      </c>
      <c r="G549" s="22">
        <v>1000.0</v>
      </c>
      <c r="H549" s="23"/>
      <c r="I549" s="24"/>
      <c r="J549" s="24"/>
      <c r="K549" s="25">
        <f t="shared" si="1"/>
        <v>0</v>
      </c>
      <c r="L549" s="25" t="str">
        <f>IF(I549=0,"",I549/F549*G549*LOOKUP(B549,L!A:A,L!C:C))</f>
        <v/>
      </c>
      <c r="M549" s="26">
        <f>IF(L549=MIN(L549:L551),1,0)</f>
        <v>0</v>
      </c>
    </row>
    <row r="550" ht="15.0" hidden="1" customHeight="1">
      <c r="A550" s="27" t="s">
        <v>51</v>
      </c>
      <c r="B550" s="28">
        <v>3.0</v>
      </c>
      <c r="C550" s="37" t="s">
        <v>322</v>
      </c>
      <c r="D550" s="21"/>
      <c r="E550" s="20" t="s">
        <v>323</v>
      </c>
      <c r="F550" s="30">
        <v>750.0</v>
      </c>
      <c r="G550" s="30">
        <v>1000.0</v>
      </c>
      <c r="H550" s="23">
        <v>0.0</v>
      </c>
      <c r="I550" s="31">
        <v>17999.0</v>
      </c>
      <c r="J550" s="36"/>
      <c r="K550" s="25">
        <f t="shared" si="1"/>
        <v>0</v>
      </c>
      <c r="L550" s="25">
        <f>IF(I550=0,"",I550/F550*G550*LOOKUP(B550,L!A:A,L!C:C))</f>
        <v>17999</v>
      </c>
      <c r="M550" s="26">
        <f>IF(L550=MIN(L549:L551),1,0)</f>
        <v>1</v>
      </c>
    </row>
    <row r="551" ht="15.0" hidden="1" customHeight="1">
      <c r="A551" s="17" t="s">
        <v>51</v>
      </c>
      <c r="B551" s="28">
        <v>4.0</v>
      </c>
      <c r="C551" s="37" t="s">
        <v>322</v>
      </c>
      <c r="D551" s="21"/>
      <c r="E551" s="21"/>
      <c r="F551" s="30">
        <v>750.0</v>
      </c>
      <c r="G551" s="30">
        <v>1000.0</v>
      </c>
      <c r="H551" s="35"/>
      <c r="I551" s="31"/>
      <c r="J551" s="36"/>
      <c r="K551" s="25">
        <f t="shared" si="1"/>
        <v>0</v>
      </c>
      <c r="L551" s="25" t="str">
        <f>IF(I551=0,"",I551/F551*G551*LOOKUP(B551,L!A:A,L!C:C))</f>
        <v/>
      </c>
      <c r="M551" s="26">
        <f>IF(L551=MIN(L549:L551),1,0)</f>
        <v>0</v>
      </c>
    </row>
    <row r="552" ht="15.0" hidden="1" customHeight="1">
      <c r="A552" s="17" t="s">
        <v>68</v>
      </c>
      <c r="B552" s="18">
        <v>1.0</v>
      </c>
      <c r="C552" s="19" t="s">
        <v>324</v>
      </c>
      <c r="D552" s="21"/>
      <c r="E552" s="21"/>
      <c r="F552" s="22">
        <v>160.0</v>
      </c>
      <c r="G552" s="22">
        <v>1000.0</v>
      </c>
      <c r="H552" s="23"/>
      <c r="I552" s="24">
        <v>2580.75</v>
      </c>
      <c r="J552" s="24"/>
      <c r="K552" s="25">
        <f t="shared" si="1"/>
        <v>0</v>
      </c>
      <c r="L552" s="25">
        <f>IF(I552=0,"",I552/F552*G552*LOOKUP(B552,L!A:A,L!C:C))</f>
        <v>10484.29688</v>
      </c>
      <c r="M552" s="26">
        <f>IF(L552=MIN(L552:L554),1,0)</f>
        <v>1</v>
      </c>
    </row>
    <row r="553" ht="15.0" hidden="1" customHeight="1">
      <c r="A553" s="27" t="s">
        <v>68</v>
      </c>
      <c r="B553" s="28">
        <v>2.0</v>
      </c>
      <c r="C553" s="29" t="s">
        <v>324</v>
      </c>
      <c r="D553" s="21"/>
      <c r="E553" s="21"/>
      <c r="F553" s="30"/>
      <c r="G553" s="30">
        <v>1000.0</v>
      </c>
      <c r="H553" s="23"/>
      <c r="I553" s="36"/>
      <c r="J553" s="36"/>
      <c r="K553" s="25">
        <f t="shared" si="1"/>
        <v>0</v>
      </c>
      <c r="L553" s="25" t="str">
        <f>IF(I553=0,"",I553/F553*G553*LOOKUP(B553,L!A:A,L!C:C))</f>
        <v/>
      </c>
      <c r="M553" s="26">
        <f>IF(L553=MIN(L552:L554),1,0)</f>
        <v>0</v>
      </c>
    </row>
    <row r="554" ht="15.0" hidden="1" customHeight="1">
      <c r="A554" s="17" t="s">
        <v>68</v>
      </c>
      <c r="B554" s="28">
        <v>4.0</v>
      </c>
      <c r="C554" s="29" t="s">
        <v>324</v>
      </c>
      <c r="D554" s="21"/>
      <c r="E554" s="21"/>
      <c r="F554" s="30"/>
      <c r="G554" s="30">
        <v>1000.0</v>
      </c>
      <c r="H554" s="23"/>
      <c r="I554" s="36"/>
      <c r="J554" s="36"/>
      <c r="K554" s="25">
        <f t="shared" si="1"/>
        <v>0</v>
      </c>
      <c r="L554" s="25" t="str">
        <f>IF(I554=0,"",I554/F554*G554*LOOKUP(B554,L!A:A,L!C:C))</f>
        <v/>
      </c>
      <c r="M554" s="26">
        <f>IF(L554=MIN(L552:L554),1,0)</f>
        <v>0</v>
      </c>
    </row>
    <row r="555" ht="15.0" hidden="1" customHeight="1">
      <c r="A555" s="17" t="s">
        <v>51</v>
      </c>
      <c r="B555" s="18">
        <v>1.0</v>
      </c>
      <c r="C555" s="39" t="s">
        <v>325</v>
      </c>
      <c r="D555" s="21"/>
      <c r="E555" s="21"/>
      <c r="F555" s="22">
        <v>750.0</v>
      </c>
      <c r="G555" s="22">
        <v>1000.0</v>
      </c>
      <c r="H555" s="23"/>
      <c r="I555" s="24"/>
      <c r="J555" s="24"/>
      <c r="K555" s="25">
        <f t="shared" si="1"/>
        <v>0</v>
      </c>
      <c r="L555" s="25" t="str">
        <f>IF(I555=0,"",I555/F555*G555*LOOKUP(B555,L!A:A,L!C:C))</f>
        <v/>
      </c>
      <c r="M555" s="26">
        <f>IF(L555=MIN(L555:L557),1,0)</f>
        <v>0</v>
      </c>
    </row>
    <row r="556" ht="15.0" hidden="1" customHeight="1">
      <c r="A556" s="27" t="s">
        <v>51</v>
      </c>
      <c r="B556" s="28">
        <v>2.0</v>
      </c>
      <c r="C556" s="39" t="s">
        <v>325</v>
      </c>
      <c r="D556" s="21"/>
      <c r="E556" s="21"/>
      <c r="F556" s="30">
        <v>750.0</v>
      </c>
      <c r="G556" s="30">
        <v>1000.0</v>
      </c>
      <c r="H556" s="35"/>
      <c r="I556" s="36"/>
      <c r="J556" s="36"/>
      <c r="K556" s="25">
        <f t="shared" si="1"/>
        <v>0</v>
      </c>
      <c r="L556" s="25" t="str">
        <f>IF(I556=0,"",I556/F556*G556*LOOKUP(B556,L!A:A,L!C:C))</f>
        <v/>
      </c>
      <c r="M556" s="26">
        <f>IF(L556=MIN(L555:L557),1,0)</f>
        <v>0</v>
      </c>
    </row>
    <row r="557" ht="15.0" hidden="1" customHeight="1">
      <c r="A557" s="17" t="s">
        <v>51</v>
      </c>
      <c r="B557" s="28">
        <v>4.0</v>
      </c>
      <c r="C557" s="39" t="s">
        <v>325</v>
      </c>
      <c r="D557" s="21"/>
      <c r="E557" s="21"/>
      <c r="F557" s="32">
        <v>750.0</v>
      </c>
      <c r="G557" s="30">
        <v>1000.0</v>
      </c>
      <c r="H557" s="35"/>
      <c r="I557" s="36"/>
      <c r="J557" s="36"/>
      <c r="K557" s="25">
        <f t="shared" si="1"/>
        <v>0</v>
      </c>
      <c r="L557" s="25" t="str">
        <f>IF(I557=0,"",I557/F557*G557*LOOKUP(B557,L!A:A,L!C:C))</f>
        <v/>
      </c>
      <c r="M557" s="26">
        <f>IF(L557=MIN(L555:L557),1,0)</f>
        <v>0</v>
      </c>
    </row>
    <row r="558" ht="15.0" hidden="1" customHeight="1">
      <c r="A558" s="17" t="s">
        <v>41</v>
      </c>
      <c r="B558" s="18">
        <v>1.0</v>
      </c>
      <c r="C558" s="19" t="s">
        <v>326</v>
      </c>
      <c r="D558" s="20"/>
      <c r="E558" s="20" t="s">
        <v>58</v>
      </c>
      <c r="F558" s="38">
        <v>500.0</v>
      </c>
      <c r="G558" s="22">
        <v>1000.0</v>
      </c>
      <c r="H558" s="23"/>
      <c r="I558" s="24">
        <v>1742.85</v>
      </c>
      <c r="J558" s="24"/>
      <c r="K558" s="25">
        <f t="shared" si="1"/>
        <v>0</v>
      </c>
      <c r="L558" s="25">
        <f>IF(I558=0,"",I558/F558*G558*LOOKUP(B558,L!A:A,L!C:C))</f>
        <v>2265.705</v>
      </c>
      <c r="M558" s="26">
        <f>IF(L558=MIN(L558:L560),1,0)</f>
        <v>0</v>
      </c>
    </row>
    <row r="559" ht="15.0" hidden="1" customHeight="1">
      <c r="A559" s="27" t="s">
        <v>41</v>
      </c>
      <c r="B559" s="28">
        <v>2.0</v>
      </c>
      <c r="C559" s="29" t="s">
        <v>326</v>
      </c>
      <c r="D559" s="21"/>
      <c r="E559" s="21" t="s">
        <v>86</v>
      </c>
      <c r="F559" s="30">
        <v>500.0</v>
      </c>
      <c r="G559" s="30">
        <v>1000.0</v>
      </c>
      <c r="H559" s="23"/>
      <c r="I559" s="36"/>
      <c r="J559" s="36"/>
      <c r="K559" s="25">
        <f t="shared" si="1"/>
        <v>0</v>
      </c>
      <c r="L559" s="25" t="str">
        <f>IF(I559=0,"",I559/F559*G559*LOOKUP(B559,L!A:A,L!C:C))</f>
        <v/>
      </c>
      <c r="M559" s="26">
        <f>IF(L559=MIN(L558:L560),1,0)</f>
        <v>0</v>
      </c>
    </row>
    <row r="560" ht="15.0" hidden="1" customHeight="1">
      <c r="A560" s="17" t="s">
        <v>41</v>
      </c>
      <c r="B560" s="28">
        <v>3.0</v>
      </c>
      <c r="C560" s="29" t="s">
        <v>326</v>
      </c>
      <c r="D560" s="21"/>
      <c r="E560" s="21"/>
      <c r="F560" s="30">
        <v>1000.0</v>
      </c>
      <c r="G560" s="30">
        <v>1000.0</v>
      </c>
      <c r="H560" s="23">
        <v>1.0</v>
      </c>
      <c r="I560" s="31">
        <v>1799.0</v>
      </c>
      <c r="J560" s="36"/>
      <c r="K560" s="25">
        <f t="shared" si="1"/>
        <v>1799</v>
      </c>
      <c r="L560" s="25">
        <f>IF(I560=0,"",I560/F560*G560*LOOKUP(B560,L!A:A,L!C:C))</f>
        <v>1349.25</v>
      </c>
      <c r="M560" s="26">
        <f>IF(L560=MIN(L558:L560),1,0)</f>
        <v>1</v>
      </c>
    </row>
    <row r="561" ht="15.0" hidden="1" customHeight="1">
      <c r="A561" s="17" t="s">
        <v>195</v>
      </c>
      <c r="B561" s="18">
        <v>1.0</v>
      </c>
      <c r="C561" s="19" t="s">
        <v>327</v>
      </c>
      <c r="D561" s="21"/>
      <c r="E561" s="21"/>
      <c r="F561" s="22"/>
      <c r="G561" s="38">
        <v>1000.0</v>
      </c>
      <c r="H561" s="35"/>
      <c r="I561" s="34"/>
      <c r="J561" s="34"/>
      <c r="K561" s="25">
        <f t="shared" si="1"/>
        <v>0</v>
      </c>
      <c r="L561" s="25" t="str">
        <f>IF(I561=0,"",I561/F561*G561*LOOKUP(B561,L!A:A,L!C:C))</f>
        <v/>
      </c>
      <c r="M561" s="26">
        <f>IF(L561=MIN(L561:L563),1,0)</f>
        <v>0</v>
      </c>
    </row>
    <row r="562" ht="15.0" hidden="1" customHeight="1">
      <c r="A562" s="27" t="s">
        <v>195</v>
      </c>
      <c r="B562" s="28">
        <v>2.0</v>
      </c>
      <c r="C562" s="29" t="s">
        <v>327</v>
      </c>
      <c r="D562" s="21"/>
      <c r="E562" s="21"/>
      <c r="F562" s="30"/>
      <c r="G562" s="38">
        <v>1000.0</v>
      </c>
      <c r="H562" s="35"/>
      <c r="I562" s="36"/>
      <c r="J562" s="36"/>
      <c r="K562" s="25">
        <f t="shared" si="1"/>
        <v>0</v>
      </c>
      <c r="L562" s="25" t="str">
        <f>IF(I562=0,"",I562/F562*G562*LOOKUP(B562,L!A:A,L!C:C))</f>
        <v/>
      </c>
      <c r="M562" s="26">
        <f>IF(L562=MIN(L561:L563),1,0)</f>
        <v>0</v>
      </c>
    </row>
    <row r="563" ht="15.0" hidden="1" customHeight="1">
      <c r="A563" s="17" t="s">
        <v>195</v>
      </c>
      <c r="B563" s="28">
        <v>4.0</v>
      </c>
      <c r="C563" s="29" t="s">
        <v>327</v>
      </c>
      <c r="D563" s="21"/>
      <c r="E563" s="21"/>
      <c r="F563" s="30"/>
      <c r="G563" s="38">
        <v>1000.0</v>
      </c>
      <c r="H563" s="35"/>
      <c r="I563" s="36"/>
      <c r="J563" s="36"/>
      <c r="K563" s="25">
        <f t="shared" si="1"/>
        <v>0</v>
      </c>
      <c r="L563" s="25" t="str">
        <f>IF(I563=0,"",I563/F563*G563*LOOKUP(B563,L!A:A,L!C:C))</f>
        <v/>
      </c>
      <c r="M563" s="26">
        <f>IF(L563=MIN(L561:L563),1,0)</f>
        <v>0</v>
      </c>
    </row>
    <row r="564" ht="15.0" hidden="1" customHeight="1">
      <c r="A564" s="33" t="s">
        <v>71</v>
      </c>
      <c r="B564" s="18">
        <v>1.0</v>
      </c>
      <c r="C564" s="37" t="s">
        <v>0</v>
      </c>
      <c r="D564" s="21"/>
      <c r="E564" s="21"/>
      <c r="F564" s="38">
        <v>50.0</v>
      </c>
      <c r="G564" s="22">
        <v>1000.0</v>
      </c>
      <c r="H564" s="23"/>
      <c r="I564" s="34"/>
      <c r="J564" s="34"/>
      <c r="K564" s="25">
        <f t="shared" si="1"/>
        <v>0</v>
      </c>
      <c r="L564" s="25" t="str">
        <f>IF(I564=0,"",I564/F564*G564*LOOKUP(B564,L!A:A,L!C:C))</f>
        <v/>
      </c>
      <c r="M564" s="26">
        <f>IF(L564=MIN(L564:L566),1,0)</f>
        <v>0</v>
      </c>
    </row>
    <row r="565" ht="15.0" hidden="1" customHeight="1">
      <c r="A565" s="33" t="s">
        <v>71</v>
      </c>
      <c r="B565" s="28">
        <v>2.0</v>
      </c>
      <c r="C565" s="37" t="s">
        <v>0</v>
      </c>
      <c r="D565" s="21"/>
      <c r="E565" s="21"/>
      <c r="F565" s="30"/>
      <c r="G565" s="30">
        <v>1000.0</v>
      </c>
      <c r="H565" s="35"/>
      <c r="I565" s="36"/>
      <c r="J565" s="36"/>
      <c r="K565" s="25">
        <f t="shared" si="1"/>
        <v>0</v>
      </c>
      <c r="L565" s="25" t="str">
        <f>IF(I565=0,"",I565/F565*G565*LOOKUP(B565,L!A:A,L!C:C))</f>
        <v/>
      </c>
      <c r="M565" s="26">
        <f>IF(L565=MIN(L564:L566),1,0)</f>
        <v>0</v>
      </c>
    </row>
    <row r="566" ht="15.0" hidden="1" customHeight="1">
      <c r="A566" s="33" t="s">
        <v>71</v>
      </c>
      <c r="B566" s="28">
        <v>4.0</v>
      </c>
      <c r="C566" s="37" t="s">
        <v>0</v>
      </c>
      <c r="D566" s="21"/>
      <c r="E566" s="21"/>
      <c r="F566" s="30"/>
      <c r="G566" s="30">
        <v>1000.0</v>
      </c>
      <c r="H566" s="35"/>
      <c r="I566" s="36"/>
      <c r="J566" s="36"/>
      <c r="K566" s="25">
        <f t="shared" si="1"/>
        <v>0</v>
      </c>
      <c r="L566" s="25" t="str">
        <f>IF(I566=0,"",I566/F566*G566*LOOKUP(B566,L!A:A,L!C:C))</f>
        <v/>
      </c>
      <c r="M566" s="26">
        <f>IF(L566=MIN(L564:L566),1,0)</f>
        <v>0</v>
      </c>
    </row>
    <row r="567" ht="15.0" hidden="1" customHeight="1">
      <c r="A567" s="17" t="s">
        <v>51</v>
      </c>
      <c r="B567" s="18">
        <v>1.0</v>
      </c>
      <c r="C567" s="37" t="s">
        <v>328</v>
      </c>
      <c r="D567" s="21"/>
      <c r="E567" s="21"/>
      <c r="F567" s="22">
        <v>750.0</v>
      </c>
      <c r="G567" s="22">
        <v>1000.0</v>
      </c>
      <c r="H567" s="23"/>
      <c r="I567" s="24"/>
      <c r="J567" s="24"/>
      <c r="K567" s="25">
        <f t="shared" si="1"/>
        <v>0</v>
      </c>
      <c r="L567" s="25" t="str">
        <f>IF(I567=0,"",I567/F567*G567*LOOKUP(B567,L!A:A,L!C:C))</f>
        <v/>
      </c>
      <c r="M567" s="26">
        <f>IF(L567=MIN(L567:L569),1,0)</f>
        <v>0</v>
      </c>
    </row>
    <row r="568" ht="15.0" hidden="1" customHeight="1">
      <c r="A568" s="27" t="s">
        <v>51</v>
      </c>
      <c r="B568" s="28">
        <v>2.0</v>
      </c>
      <c r="C568" s="37" t="s">
        <v>328</v>
      </c>
      <c r="D568" s="21"/>
      <c r="E568" s="21"/>
      <c r="F568" s="30">
        <v>750.0</v>
      </c>
      <c r="G568" s="30">
        <v>1000.0</v>
      </c>
      <c r="H568" s="35"/>
      <c r="I568" s="36"/>
      <c r="J568" s="36"/>
      <c r="K568" s="25">
        <f t="shared" si="1"/>
        <v>0</v>
      </c>
      <c r="L568" s="25" t="str">
        <f>IF(I568=0,"",I568/F568*G568*LOOKUP(B568,L!A:A,L!C:C))</f>
        <v/>
      </c>
      <c r="M568" s="26">
        <f>IF(L568=MIN(L567:L569),1,0)</f>
        <v>0</v>
      </c>
    </row>
    <row r="569" ht="15.0" hidden="1" customHeight="1">
      <c r="A569" s="17" t="s">
        <v>51</v>
      </c>
      <c r="B569" s="28">
        <v>4.0</v>
      </c>
      <c r="C569" s="37" t="s">
        <v>328</v>
      </c>
      <c r="D569" s="21"/>
      <c r="E569" s="21"/>
      <c r="F569" s="30">
        <v>750.0</v>
      </c>
      <c r="G569" s="30">
        <v>1000.0</v>
      </c>
      <c r="H569" s="35"/>
      <c r="I569" s="31"/>
      <c r="J569" s="31"/>
      <c r="K569" s="25">
        <f t="shared" si="1"/>
        <v>0</v>
      </c>
      <c r="L569" s="25" t="str">
        <f>IF(I569=0,"",I569/F569*G569*LOOKUP(B569,L!A:A,L!C:C))</f>
        <v/>
      </c>
      <c r="M569" s="26">
        <f>IF(L569=MIN(L567:L569),1,0)</f>
        <v>0</v>
      </c>
    </row>
    <row r="570" ht="15.0" hidden="1" customHeight="1">
      <c r="A570" s="17" t="s">
        <v>84</v>
      </c>
      <c r="B570" s="18">
        <v>1.0</v>
      </c>
      <c r="C570" s="19" t="s">
        <v>329</v>
      </c>
      <c r="D570" s="21"/>
      <c r="E570" s="21"/>
      <c r="F570" s="38">
        <v>50.0</v>
      </c>
      <c r="G570" s="38">
        <v>1000.0</v>
      </c>
      <c r="H570" s="23"/>
      <c r="I570" s="24">
        <v>2771.99</v>
      </c>
      <c r="J570" s="24"/>
      <c r="K570" s="25">
        <f t="shared" si="1"/>
        <v>0</v>
      </c>
      <c r="L570" s="25">
        <f>IF(I570=0,"",I570/F570*G570*LOOKUP(B570,L!A:A,L!C:C))</f>
        <v>36035.87</v>
      </c>
      <c r="M570" s="26">
        <f>IF(L570=MIN(L570:L572),1,0)</f>
        <v>1</v>
      </c>
    </row>
    <row r="571" ht="15.0" hidden="1" customHeight="1">
      <c r="A571" s="27" t="s">
        <v>84</v>
      </c>
      <c r="B571" s="28">
        <v>2.0</v>
      </c>
      <c r="C571" s="29" t="s">
        <v>329</v>
      </c>
      <c r="D571" s="21"/>
      <c r="E571" s="21"/>
      <c r="F571" s="32">
        <v>25.0</v>
      </c>
      <c r="G571" s="38">
        <v>1000.0</v>
      </c>
      <c r="H571" s="23"/>
      <c r="I571" s="31"/>
      <c r="J571" s="31"/>
      <c r="K571" s="25">
        <f t="shared" si="1"/>
        <v>0</v>
      </c>
      <c r="L571" s="25" t="str">
        <f>IF(I571=0,"",I571/F571*G571*LOOKUP(B571,L!A:A,L!C:C))</f>
        <v/>
      </c>
      <c r="M571" s="26">
        <f>IF(L571=MIN(L570:L572),1,0)</f>
        <v>0</v>
      </c>
    </row>
    <row r="572" ht="15.0" hidden="1" customHeight="1">
      <c r="A572" s="17" t="s">
        <v>84</v>
      </c>
      <c r="B572" s="28">
        <v>4.0</v>
      </c>
      <c r="C572" s="29" t="s">
        <v>329</v>
      </c>
      <c r="D572" s="21"/>
      <c r="E572" s="20" t="s">
        <v>330</v>
      </c>
      <c r="F572" s="32">
        <v>50.0</v>
      </c>
      <c r="G572" s="38">
        <v>1000.0</v>
      </c>
      <c r="H572" s="23"/>
      <c r="I572" s="31"/>
      <c r="J572" s="31"/>
      <c r="K572" s="25">
        <f t="shared" si="1"/>
        <v>0</v>
      </c>
      <c r="L572" s="25" t="str">
        <f>IF(I572=0,"",I572/F572*G572*LOOKUP(B572,L!A:A,L!C:C))</f>
        <v/>
      </c>
      <c r="M572" s="26">
        <f>IF(L572=MIN(L570:L572),1,0)</f>
        <v>0</v>
      </c>
    </row>
    <row r="573" ht="15.0" hidden="1" customHeight="1">
      <c r="A573" s="33" t="s">
        <v>139</v>
      </c>
      <c r="B573" s="18">
        <v>1.0</v>
      </c>
      <c r="C573" s="37" t="s">
        <v>331</v>
      </c>
      <c r="D573" s="21"/>
      <c r="E573" s="20" t="s">
        <v>141</v>
      </c>
      <c r="F573" s="38">
        <v>180.0</v>
      </c>
      <c r="G573" s="22">
        <v>1000.0</v>
      </c>
      <c r="H573" s="23"/>
      <c r="I573" s="24">
        <v>3300.25</v>
      </c>
      <c r="J573" s="24"/>
      <c r="K573" s="25">
        <f t="shared" si="1"/>
        <v>0</v>
      </c>
      <c r="L573" s="25">
        <f>IF(I573=0,"",I573/F573*G573*LOOKUP(B573,L!A:A,L!C:C))</f>
        <v>11917.56944</v>
      </c>
      <c r="M573" s="26">
        <f>IF(L573=MIN(L573:L575),1,0)</f>
        <v>1</v>
      </c>
    </row>
    <row r="574" ht="15.0" hidden="1" customHeight="1">
      <c r="A574" s="33" t="s">
        <v>139</v>
      </c>
      <c r="B574" s="28">
        <v>2.0</v>
      </c>
      <c r="C574" s="37" t="s">
        <v>331</v>
      </c>
      <c r="D574" s="21"/>
      <c r="E574" s="20" t="s">
        <v>332</v>
      </c>
      <c r="F574" s="32">
        <v>190.0</v>
      </c>
      <c r="G574" s="30">
        <v>1000.0</v>
      </c>
      <c r="H574" s="23"/>
      <c r="I574" s="31"/>
      <c r="J574" s="31"/>
      <c r="K574" s="25">
        <f t="shared" si="1"/>
        <v>0</v>
      </c>
      <c r="L574" s="25" t="str">
        <f>IF(I574=0,"",I574/F574*G574*LOOKUP(B574,L!A:A,L!C:C))</f>
        <v/>
      </c>
      <c r="M574" s="26">
        <f>IF(L574=MIN(L573:L575),1,0)</f>
        <v>0</v>
      </c>
    </row>
    <row r="575" ht="15.0" hidden="1" customHeight="1">
      <c r="A575" s="33" t="s">
        <v>139</v>
      </c>
      <c r="B575" s="28">
        <v>4.0</v>
      </c>
      <c r="C575" s="37" t="s">
        <v>331</v>
      </c>
      <c r="D575" s="21"/>
      <c r="E575" s="21"/>
      <c r="F575" s="32">
        <v>300.0</v>
      </c>
      <c r="G575" s="30">
        <v>1000.0</v>
      </c>
      <c r="H575" s="23"/>
      <c r="I575" s="31"/>
      <c r="J575" s="31"/>
      <c r="K575" s="25">
        <f t="shared" si="1"/>
        <v>0</v>
      </c>
      <c r="L575" s="25" t="str">
        <f>IF(I575=0,"",I575/F575*G575*LOOKUP(B575,L!A:A,L!C:C))</f>
        <v/>
      </c>
      <c r="M575" s="26">
        <f>IF(L575=MIN(L573:L575),1,0)</f>
        <v>0</v>
      </c>
    </row>
    <row r="576" ht="15.0" hidden="1" customHeight="1">
      <c r="A576" s="33" t="s">
        <v>139</v>
      </c>
      <c r="B576" s="18">
        <v>1.0</v>
      </c>
      <c r="C576" s="29" t="s">
        <v>333</v>
      </c>
      <c r="D576" s="21"/>
      <c r="E576" s="21"/>
      <c r="F576" s="38">
        <v>300.0</v>
      </c>
      <c r="G576" s="22">
        <v>1000.0</v>
      </c>
      <c r="H576" s="23"/>
      <c r="I576" s="24">
        <v>4242.15</v>
      </c>
      <c r="J576" s="24"/>
      <c r="K576" s="25">
        <f t="shared" si="1"/>
        <v>0</v>
      </c>
      <c r="L576" s="25">
        <f>IF(I576=0,"",I576/F576*G576*LOOKUP(B576,L!A:A,L!C:C))</f>
        <v>9191.325</v>
      </c>
      <c r="M576" s="26">
        <f>IF(L576=MIN(L576:L578),1,0)</f>
        <v>0</v>
      </c>
    </row>
    <row r="577" ht="15.0" hidden="1" customHeight="1">
      <c r="A577" s="33" t="s">
        <v>139</v>
      </c>
      <c r="B577" s="28">
        <v>2.0</v>
      </c>
      <c r="C577" s="29" t="s">
        <v>333</v>
      </c>
      <c r="D577" s="21"/>
      <c r="E577" s="21" t="s">
        <v>141</v>
      </c>
      <c r="F577" s="32">
        <v>90.0</v>
      </c>
      <c r="G577" s="30">
        <v>1000.0</v>
      </c>
      <c r="H577" s="23"/>
      <c r="I577" s="31">
        <v>1000.0</v>
      </c>
      <c r="J577" s="31"/>
      <c r="K577" s="25">
        <f t="shared" si="1"/>
        <v>0</v>
      </c>
      <c r="L577" s="25">
        <f>IF(I577=0,"",I577/F577*G577*LOOKUP(B577,L!A:A,L!C:C))</f>
        <v>8333.333333</v>
      </c>
      <c r="M577" s="26">
        <f>IF(L577=MIN(L576:L578),1,0)</f>
        <v>0</v>
      </c>
    </row>
    <row r="578" ht="15.0" hidden="1" customHeight="1">
      <c r="A578" s="33" t="s">
        <v>139</v>
      </c>
      <c r="B578" s="28">
        <v>3.0</v>
      </c>
      <c r="C578" s="29" t="s">
        <v>333</v>
      </c>
      <c r="D578" s="21"/>
      <c r="E578" s="21"/>
      <c r="F578" s="32">
        <v>300.0</v>
      </c>
      <c r="G578" s="30">
        <v>1000.0</v>
      </c>
      <c r="H578" s="23">
        <v>1.0</v>
      </c>
      <c r="I578" s="31">
        <v>3199.0</v>
      </c>
      <c r="J578" s="36"/>
      <c r="K578" s="25">
        <f t="shared" si="1"/>
        <v>3199</v>
      </c>
      <c r="L578" s="25">
        <f>IF(I578=0,"",I578/F578*G578*LOOKUP(B578,L!A:A,L!C:C))</f>
        <v>7997.5</v>
      </c>
      <c r="M578" s="26">
        <f>IF(L578=MIN(L576:L578),1,0)</f>
        <v>1</v>
      </c>
    </row>
    <row r="579" ht="15.0" customHeight="1">
      <c r="A579" s="33" t="s">
        <v>46</v>
      </c>
      <c r="B579" s="18">
        <v>1.0</v>
      </c>
      <c r="C579" s="29" t="s">
        <v>334</v>
      </c>
      <c r="D579" s="19"/>
      <c r="E579" s="19" t="s">
        <v>267</v>
      </c>
      <c r="F579" s="38">
        <v>1000.0</v>
      </c>
      <c r="G579" s="22">
        <v>1000.0</v>
      </c>
      <c r="H579" s="23">
        <v>0.0</v>
      </c>
      <c r="I579" s="24">
        <v>846.0</v>
      </c>
      <c r="J579" s="24"/>
      <c r="K579" s="25">
        <f t="shared" si="1"/>
        <v>0</v>
      </c>
      <c r="L579" s="25">
        <f>IF(I579=0,"",I579/F579*G579*LOOKUP(B579,L!A:A,L!C:C))</f>
        <v>549.9</v>
      </c>
      <c r="M579" s="26">
        <f>IF(L579=MIN(L579:L581),1,0)</f>
        <v>1</v>
      </c>
    </row>
    <row r="580" ht="15.0" hidden="1" customHeight="1">
      <c r="A580" s="33" t="s">
        <v>46</v>
      </c>
      <c r="B580" s="28">
        <v>2.0</v>
      </c>
      <c r="C580" s="29" t="s">
        <v>334</v>
      </c>
      <c r="D580" s="21"/>
      <c r="E580" s="21"/>
      <c r="F580" s="30">
        <v>1000.0</v>
      </c>
      <c r="G580" s="30">
        <v>1000.0</v>
      </c>
      <c r="H580" s="23"/>
      <c r="I580" s="31">
        <v>1090.0</v>
      </c>
      <c r="J580" s="31"/>
      <c r="K580" s="25">
        <f t="shared" si="1"/>
        <v>0</v>
      </c>
      <c r="L580" s="25">
        <f>IF(I580=0,"",I580/F580*G580*LOOKUP(B580,L!A:A,L!C:C))</f>
        <v>817.5</v>
      </c>
      <c r="M580" s="26">
        <f>IF(L580=MIN(L579:L581),1,0)</f>
        <v>0</v>
      </c>
    </row>
    <row r="581" ht="15.0" hidden="1" customHeight="1">
      <c r="A581" s="33" t="s">
        <v>46</v>
      </c>
      <c r="B581" s="28">
        <v>4.0</v>
      </c>
      <c r="C581" s="29" t="s">
        <v>334</v>
      </c>
      <c r="D581" s="21"/>
      <c r="E581" s="21"/>
      <c r="F581" s="30">
        <v>1000.0</v>
      </c>
      <c r="G581" s="30">
        <v>1000.0</v>
      </c>
      <c r="H581" s="23"/>
      <c r="I581" s="31">
        <v>1299.0</v>
      </c>
      <c r="J581" s="31"/>
      <c r="K581" s="25">
        <f t="shared" si="1"/>
        <v>0</v>
      </c>
      <c r="L581" s="25">
        <f>IF(I581=0,"",I581/F581*G581*LOOKUP(B581,L!A:A,L!C:C))</f>
        <v>1299</v>
      </c>
      <c r="M581" s="26">
        <f>IF(L581=MIN(L579:L581),1,0)</f>
        <v>0</v>
      </c>
    </row>
    <row r="582" ht="15.0" hidden="1" customHeight="1">
      <c r="A582" s="17" t="s">
        <v>55</v>
      </c>
      <c r="B582" s="18">
        <v>1.0</v>
      </c>
      <c r="C582" s="19" t="s">
        <v>335</v>
      </c>
      <c r="D582" s="21"/>
      <c r="E582" s="21"/>
      <c r="F582" s="22">
        <v>1000.0</v>
      </c>
      <c r="G582" s="22">
        <v>1000.0</v>
      </c>
      <c r="H582" s="35"/>
      <c r="I582" s="34"/>
      <c r="J582" s="34"/>
      <c r="K582" s="25">
        <f t="shared" si="1"/>
        <v>0</v>
      </c>
      <c r="L582" s="25" t="str">
        <f>IF(I582=0,"",I582/F582*G582*LOOKUP(B582,L!A:A,L!C:C))</f>
        <v/>
      </c>
      <c r="M582" s="26">
        <f>IF(L582=MIN(L582:L584),1,0)</f>
        <v>0</v>
      </c>
    </row>
    <row r="583" ht="15.0" hidden="1" customHeight="1">
      <c r="A583" s="27" t="s">
        <v>55</v>
      </c>
      <c r="B583" s="28">
        <v>2.0</v>
      </c>
      <c r="C583" s="29" t="s">
        <v>335</v>
      </c>
      <c r="D583" s="21"/>
      <c r="E583" s="21"/>
      <c r="F583" s="30"/>
      <c r="G583" s="30">
        <v>1000.0</v>
      </c>
      <c r="H583" s="35"/>
      <c r="I583" s="36"/>
      <c r="J583" s="36"/>
      <c r="K583" s="25">
        <f t="shared" si="1"/>
        <v>0</v>
      </c>
      <c r="L583" s="25" t="str">
        <f>IF(I583=0,"",I583/F583*G583*LOOKUP(B583,L!A:A,L!C:C))</f>
        <v/>
      </c>
      <c r="M583" s="26">
        <f>IF(L583=MIN(L582:L584),1,0)</f>
        <v>0</v>
      </c>
    </row>
    <row r="584" ht="15.0" hidden="1" customHeight="1">
      <c r="A584" s="17" t="s">
        <v>55</v>
      </c>
      <c r="B584" s="28">
        <v>4.0</v>
      </c>
      <c r="C584" s="29" t="s">
        <v>335</v>
      </c>
      <c r="D584" s="21"/>
      <c r="E584" s="21"/>
      <c r="F584" s="30"/>
      <c r="G584" s="30">
        <v>1000.0</v>
      </c>
      <c r="H584" s="35"/>
      <c r="I584" s="36"/>
      <c r="J584" s="36"/>
      <c r="K584" s="25">
        <f t="shared" si="1"/>
        <v>0</v>
      </c>
      <c r="L584" s="25" t="str">
        <f>IF(I584=0,"",I584/F584*G584*LOOKUP(B584,L!A:A,L!C:C))</f>
        <v/>
      </c>
      <c r="M584" s="26">
        <f>IF(L584=MIN(L582:L584),1,0)</f>
        <v>0</v>
      </c>
    </row>
    <row r="585" ht="15.0" hidden="1" customHeight="1">
      <c r="A585" s="33" t="s">
        <v>46</v>
      </c>
      <c r="B585" s="18">
        <v>1.0</v>
      </c>
      <c r="C585" s="29" t="s">
        <v>336</v>
      </c>
      <c r="D585" s="20"/>
      <c r="E585" s="20"/>
      <c r="F585" s="30">
        <v>1000.0</v>
      </c>
      <c r="G585" s="22">
        <v>1000.0</v>
      </c>
      <c r="H585" s="23"/>
      <c r="I585" s="24">
        <v>791.0</v>
      </c>
      <c r="J585" s="24"/>
      <c r="K585" s="25">
        <f t="shared" si="1"/>
        <v>0</v>
      </c>
      <c r="L585" s="25">
        <f>IF(I585=0,"",I585/F585*G585*LOOKUP(B585,L!A:A,L!C:C))</f>
        <v>514.15</v>
      </c>
      <c r="M585" s="26">
        <f>IF(L585=MIN(L585:L587),1,0)</f>
        <v>1</v>
      </c>
    </row>
    <row r="586" ht="15.0" hidden="1" customHeight="1">
      <c r="A586" s="33" t="s">
        <v>46</v>
      </c>
      <c r="B586" s="28">
        <v>2.0</v>
      </c>
      <c r="C586" s="29" t="s">
        <v>336</v>
      </c>
      <c r="D586" s="21"/>
      <c r="E586" s="21"/>
      <c r="F586" s="30">
        <v>1000.0</v>
      </c>
      <c r="G586" s="30">
        <v>1000.0</v>
      </c>
      <c r="H586" s="23"/>
      <c r="I586" s="31">
        <v>1290.0</v>
      </c>
      <c r="J586" s="31"/>
      <c r="K586" s="25">
        <f t="shared" si="1"/>
        <v>0</v>
      </c>
      <c r="L586" s="25">
        <f>IF(I586=0,"",I586/F586*G586*LOOKUP(B586,L!A:A,L!C:C))</f>
        <v>967.5</v>
      </c>
      <c r="M586" s="26">
        <f>IF(L586=MIN(L585:L587),1,0)</f>
        <v>0</v>
      </c>
    </row>
    <row r="587" ht="15.0" hidden="1" customHeight="1">
      <c r="A587" s="33" t="s">
        <v>46</v>
      </c>
      <c r="B587" s="28">
        <v>4.0</v>
      </c>
      <c r="C587" s="29" t="s">
        <v>336</v>
      </c>
      <c r="D587" s="21"/>
      <c r="E587" s="21"/>
      <c r="F587" s="30"/>
      <c r="G587" s="30">
        <v>1000.0</v>
      </c>
      <c r="H587" s="35"/>
      <c r="I587" s="36"/>
      <c r="J587" s="36"/>
      <c r="K587" s="25">
        <f t="shared" si="1"/>
        <v>0</v>
      </c>
      <c r="L587" s="25" t="str">
        <f>IF(I587=0,"",I587/F587*G587*LOOKUP(B587,L!A:A,L!C:C))</f>
        <v/>
      </c>
      <c r="M587" s="26">
        <f>IF(L587=MIN(L585:L587),1,0)</f>
        <v>0</v>
      </c>
    </row>
    <row r="588" ht="15.75" hidden="1" customHeight="1">
      <c r="D588" s="41"/>
      <c r="E588" s="41"/>
    </row>
    <row r="589" ht="15.75" hidden="1" customHeight="1">
      <c r="D589" s="41"/>
      <c r="E589" s="41"/>
    </row>
    <row r="590" ht="15.75" hidden="1" customHeight="1">
      <c r="D590" s="41"/>
      <c r="E590" s="41"/>
    </row>
    <row r="591" ht="15.75" hidden="1" customHeight="1">
      <c r="D591" s="41"/>
      <c r="E591" s="41"/>
    </row>
    <row r="592" ht="15.75" hidden="1" customHeight="1">
      <c r="D592" s="41"/>
      <c r="E592" s="41"/>
    </row>
    <row r="593" ht="15.75" hidden="1" customHeight="1">
      <c r="D593" s="41"/>
      <c r="E593" s="41"/>
    </row>
    <row r="594" ht="15.75" hidden="1" customHeight="1">
      <c r="D594" s="41"/>
      <c r="E594" s="41"/>
    </row>
    <row r="595" ht="15.75" hidden="1" customHeight="1">
      <c r="D595" s="41"/>
      <c r="E595" s="41"/>
    </row>
    <row r="596" ht="15.75" hidden="1" customHeight="1">
      <c r="D596" s="41"/>
      <c r="E596" s="41"/>
    </row>
    <row r="597" ht="15.75" hidden="1" customHeight="1">
      <c r="D597" s="41"/>
      <c r="E597" s="41"/>
    </row>
    <row r="598" ht="15.75" hidden="1" customHeight="1">
      <c r="D598" s="41"/>
      <c r="E598" s="41"/>
    </row>
    <row r="599" ht="15.75" hidden="1" customHeight="1">
      <c r="D599" s="41"/>
      <c r="E599" s="41"/>
    </row>
    <row r="600" ht="15.75" hidden="1" customHeight="1">
      <c r="D600" s="41"/>
      <c r="E600" s="41"/>
    </row>
    <row r="601" ht="15.75" hidden="1" customHeight="1">
      <c r="D601" s="41"/>
      <c r="E601" s="41"/>
    </row>
    <row r="602" ht="15.75" hidden="1" customHeight="1">
      <c r="D602" s="41"/>
      <c r="E602" s="41"/>
    </row>
    <row r="603" ht="15.75" hidden="1" customHeight="1">
      <c r="D603" s="41"/>
      <c r="E603" s="41"/>
    </row>
    <row r="604" ht="15.75" hidden="1" customHeight="1">
      <c r="D604" s="41"/>
      <c r="E604" s="41"/>
    </row>
    <row r="605" ht="15.75" hidden="1" customHeight="1">
      <c r="D605" s="41"/>
      <c r="E605" s="41"/>
    </row>
    <row r="606" ht="15.75" hidden="1" customHeight="1">
      <c r="D606" s="41"/>
      <c r="E606" s="41"/>
    </row>
    <row r="607" ht="15.75" hidden="1" customHeight="1">
      <c r="D607" s="41"/>
      <c r="E607" s="41"/>
    </row>
    <row r="608" ht="15.75" hidden="1" customHeight="1">
      <c r="D608" s="41"/>
      <c r="E608" s="41"/>
    </row>
    <row r="609" ht="15.75" hidden="1" customHeight="1">
      <c r="D609" s="41"/>
      <c r="E609" s="41"/>
    </row>
    <row r="610" ht="15.75" hidden="1" customHeight="1">
      <c r="D610" s="41"/>
      <c r="E610" s="41"/>
    </row>
    <row r="611" ht="15.75" hidden="1" customHeight="1">
      <c r="D611" s="41"/>
      <c r="E611" s="41"/>
    </row>
    <row r="612" ht="15.75" hidden="1" customHeight="1">
      <c r="D612" s="41"/>
      <c r="E612" s="41"/>
    </row>
    <row r="613" ht="15.75" hidden="1" customHeight="1">
      <c r="D613" s="41"/>
      <c r="E613" s="41"/>
    </row>
    <row r="614" ht="15.75" hidden="1" customHeight="1">
      <c r="D614" s="41"/>
      <c r="E614" s="41"/>
    </row>
    <row r="615" ht="15.75" hidden="1" customHeight="1">
      <c r="D615" s="41"/>
      <c r="E615" s="41"/>
    </row>
    <row r="616" ht="15.75" hidden="1" customHeight="1">
      <c r="D616" s="41"/>
      <c r="E616" s="41"/>
    </row>
    <row r="617" ht="15.75" hidden="1" customHeight="1">
      <c r="D617" s="41"/>
      <c r="E617" s="41"/>
    </row>
    <row r="618" ht="15.75" hidden="1" customHeight="1">
      <c r="D618" s="41"/>
      <c r="E618" s="41"/>
    </row>
    <row r="619" ht="15.75" hidden="1" customHeight="1">
      <c r="D619" s="41"/>
      <c r="E619" s="41"/>
    </row>
    <row r="620" ht="15.75" hidden="1" customHeight="1">
      <c r="D620" s="41"/>
      <c r="E620" s="41"/>
    </row>
    <row r="621" ht="15.75" hidden="1" customHeight="1">
      <c r="D621" s="41"/>
      <c r="E621" s="41"/>
    </row>
    <row r="622" ht="15.75" hidden="1" customHeight="1">
      <c r="D622" s="41"/>
      <c r="E622" s="41"/>
    </row>
    <row r="623" ht="15.75" hidden="1" customHeight="1">
      <c r="D623" s="41"/>
      <c r="E623" s="41"/>
    </row>
    <row r="624" ht="15.75" hidden="1" customHeight="1">
      <c r="D624" s="41"/>
      <c r="E624" s="41"/>
    </row>
    <row r="625" ht="15.75" hidden="1" customHeight="1">
      <c r="D625" s="41"/>
      <c r="E625" s="41"/>
    </row>
    <row r="626" ht="15.75" hidden="1" customHeight="1">
      <c r="D626" s="41"/>
      <c r="E626" s="41"/>
    </row>
    <row r="627" ht="15.75" hidden="1" customHeight="1">
      <c r="D627" s="41"/>
      <c r="E627" s="41"/>
    </row>
    <row r="628" ht="15.75" hidden="1" customHeight="1">
      <c r="D628" s="41"/>
      <c r="E628" s="41"/>
    </row>
    <row r="629" ht="15.75" hidden="1" customHeight="1">
      <c r="D629" s="41"/>
      <c r="E629" s="41"/>
    </row>
    <row r="630" ht="15.75" hidden="1" customHeight="1">
      <c r="D630" s="41"/>
      <c r="E630" s="41"/>
    </row>
    <row r="631" ht="15.75" hidden="1" customHeight="1">
      <c r="D631" s="41"/>
      <c r="E631" s="41"/>
    </row>
    <row r="632" ht="15.75" hidden="1" customHeight="1">
      <c r="D632" s="41"/>
      <c r="E632" s="41"/>
    </row>
    <row r="633" ht="15.75" hidden="1" customHeight="1">
      <c r="D633" s="41"/>
      <c r="E633" s="41"/>
    </row>
    <row r="634" ht="15.75" hidden="1" customHeight="1">
      <c r="D634" s="41"/>
      <c r="E634" s="41"/>
    </row>
    <row r="635" ht="15.75" hidden="1" customHeight="1">
      <c r="D635" s="41"/>
      <c r="E635" s="41"/>
    </row>
    <row r="636" ht="15.75" hidden="1" customHeight="1">
      <c r="D636" s="41"/>
      <c r="E636" s="41"/>
    </row>
    <row r="637" ht="15.75" hidden="1" customHeight="1">
      <c r="D637" s="41"/>
      <c r="E637" s="41"/>
    </row>
    <row r="638" ht="15.75" hidden="1" customHeight="1">
      <c r="D638" s="41"/>
      <c r="E638" s="41"/>
    </row>
    <row r="639" ht="15.75" hidden="1" customHeight="1">
      <c r="D639" s="41"/>
      <c r="E639" s="41"/>
    </row>
    <row r="640" ht="15.75" hidden="1" customHeight="1">
      <c r="D640" s="41"/>
      <c r="E640" s="41"/>
    </row>
    <row r="641" ht="15.75" hidden="1" customHeight="1">
      <c r="D641" s="41"/>
      <c r="E641" s="41"/>
    </row>
    <row r="642" ht="15.75" hidden="1" customHeight="1">
      <c r="D642" s="41"/>
      <c r="E642" s="41"/>
    </row>
    <row r="643" ht="15.75" hidden="1" customHeight="1">
      <c r="D643" s="41"/>
      <c r="E643" s="41"/>
    </row>
    <row r="644" ht="15.75" hidden="1" customHeight="1">
      <c r="D644" s="41"/>
      <c r="E644" s="41"/>
    </row>
    <row r="645" ht="15.75" hidden="1" customHeight="1">
      <c r="D645" s="41"/>
      <c r="E645" s="41"/>
    </row>
    <row r="646" ht="15.75" hidden="1" customHeight="1">
      <c r="D646" s="41"/>
      <c r="E646" s="41"/>
    </row>
    <row r="647" ht="15.75" hidden="1" customHeight="1">
      <c r="D647" s="41"/>
      <c r="E647" s="41"/>
    </row>
    <row r="648" ht="15.75" hidden="1" customHeight="1">
      <c r="D648" s="41"/>
      <c r="E648" s="41"/>
    </row>
    <row r="649" ht="15.75" hidden="1" customHeight="1">
      <c r="D649" s="41"/>
      <c r="E649" s="41"/>
    </row>
    <row r="650" ht="15.75" hidden="1" customHeight="1">
      <c r="D650" s="41"/>
      <c r="E650" s="41"/>
    </row>
    <row r="651" ht="15.75" hidden="1" customHeight="1">
      <c r="D651" s="41"/>
      <c r="E651" s="41"/>
    </row>
    <row r="652" ht="15.75" hidden="1" customHeight="1">
      <c r="D652" s="41"/>
      <c r="E652" s="41"/>
    </row>
    <row r="653" ht="15.75" hidden="1" customHeight="1">
      <c r="D653" s="41"/>
      <c r="E653" s="41"/>
    </row>
    <row r="654" ht="15.75" hidden="1" customHeight="1">
      <c r="D654" s="41"/>
      <c r="E654" s="41"/>
    </row>
    <row r="655" ht="15.75" hidden="1" customHeight="1">
      <c r="D655" s="41"/>
      <c r="E655" s="41"/>
    </row>
    <row r="656" ht="15.75" hidden="1" customHeight="1">
      <c r="D656" s="41"/>
      <c r="E656" s="41"/>
    </row>
    <row r="657" ht="15.75" hidden="1" customHeight="1">
      <c r="D657" s="41"/>
      <c r="E657" s="41"/>
    </row>
    <row r="658" ht="15.75" hidden="1" customHeight="1">
      <c r="D658" s="41"/>
      <c r="E658" s="41"/>
    </row>
    <row r="659" ht="15.75" hidden="1" customHeight="1">
      <c r="D659" s="41"/>
      <c r="E659" s="41"/>
    </row>
    <row r="660" ht="15.75" hidden="1" customHeight="1">
      <c r="D660" s="41"/>
      <c r="E660" s="41"/>
    </row>
    <row r="661" ht="15.75" hidden="1" customHeight="1">
      <c r="D661" s="41"/>
      <c r="E661" s="41"/>
    </row>
    <row r="662" ht="15.75" hidden="1" customHeight="1">
      <c r="D662" s="41"/>
      <c r="E662" s="41"/>
    </row>
    <row r="663" ht="15.75" hidden="1" customHeight="1">
      <c r="D663" s="41"/>
      <c r="E663" s="41"/>
    </row>
    <row r="664" ht="15.75" hidden="1" customHeight="1">
      <c r="D664" s="41"/>
      <c r="E664" s="41"/>
    </row>
    <row r="665" ht="15.75" hidden="1" customHeight="1">
      <c r="D665" s="41"/>
      <c r="E665" s="41"/>
    </row>
    <row r="666" ht="15.75" hidden="1" customHeight="1">
      <c r="D666" s="41"/>
      <c r="E666" s="41"/>
    </row>
    <row r="667" ht="15.75" hidden="1" customHeight="1">
      <c r="D667" s="41"/>
      <c r="E667" s="41"/>
    </row>
    <row r="668" ht="15.75" hidden="1" customHeight="1">
      <c r="D668" s="41"/>
      <c r="E668" s="41"/>
    </row>
    <row r="669" ht="15.75" hidden="1" customHeight="1">
      <c r="D669" s="41"/>
      <c r="E669" s="41"/>
    </row>
    <row r="670" ht="15.75" hidden="1" customHeight="1">
      <c r="D670" s="41"/>
      <c r="E670" s="41"/>
    </row>
    <row r="671" ht="15.75" hidden="1" customHeight="1">
      <c r="D671" s="41"/>
      <c r="E671" s="41"/>
    </row>
    <row r="672" ht="15.75" hidden="1" customHeight="1">
      <c r="D672" s="41"/>
      <c r="E672" s="41"/>
    </row>
    <row r="673" ht="15.75" hidden="1" customHeight="1">
      <c r="D673" s="41"/>
      <c r="E673" s="41"/>
    </row>
    <row r="674" ht="15.75" hidden="1" customHeight="1">
      <c r="D674" s="41"/>
      <c r="E674" s="41"/>
    </row>
    <row r="675" ht="15.75" hidden="1" customHeight="1">
      <c r="D675" s="41"/>
      <c r="E675" s="41"/>
    </row>
    <row r="676" ht="15.75" hidden="1" customHeight="1">
      <c r="D676" s="41"/>
      <c r="E676" s="41"/>
    </row>
    <row r="677" ht="15.75" hidden="1" customHeight="1">
      <c r="D677" s="41"/>
      <c r="E677" s="41"/>
    </row>
    <row r="678" ht="15.75" hidden="1" customHeight="1">
      <c r="D678" s="41"/>
      <c r="E678" s="41"/>
    </row>
    <row r="679" ht="15.75" hidden="1" customHeight="1">
      <c r="D679" s="41"/>
      <c r="E679" s="41"/>
    </row>
    <row r="680" ht="15.75" hidden="1" customHeight="1">
      <c r="D680" s="41"/>
      <c r="E680" s="41"/>
    </row>
    <row r="681" ht="15.75" hidden="1" customHeight="1">
      <c r="D681" s="41"/>
      <c r="E681" s="41"/>
    </row>
    <row r="682" ht="15.75" hidden="1" customHeight="1">
      <c r="D682" s="41"/>
      <c r="E682" s="41"/>
    </row>
    <row r="683" ht="15.75" hidden="1" customHeight="1">
      <c r="D683" s="41"/>
      <c r="E683" s="41"/>
    </row>
    <row r="684" ht="15.75" hidden="1" customHeight="1">
      <c r="D684" s="41"/>
      <c r="E684" s="41"/>
    </row>
    <row r="685" ht="15.75" hidden="1" customHeight="1">
      <c r="D685" s="41"/>
      <c r="E685" s="41"/>
    </row>
    <row r="686" ht="15.75" hidden="1" customHeight="1">
      <c r="D686" s="41"/>
      <c r="E686" s="41"/>
    </row>
    <row r="687" ht="15.75" hidden="1" customHeight="1">
      <c r="D687" s="41"/>
      <c r="E687" s="41"/>
    </row>
    <row r="688" ht="15.75" hidden="1" customHeight="1">
      <c r="D688" s="41"/>
      <c r="E688" s="41"/>
    </row>
    <row r="689" ht="15.75" hidden="1" customHeight="1">
      <c r="D689" s="41"/>
      <c r="E689" s="41"/>
    </row>
    <row r="690" ht="15.75" hidden="1" customHeight="1">
      <c r="D690" s="41"/>
      <c r="E690" s="41"/>
    </row>
    <row r="691" ht="15.75" hidden="1" customHeight="1">
      <c r="D691" s="41"/>
      <c r="E691" s="41"/>
    </row>
    <row r="692" ht="15.75" hidden="1" customHeight="1">
      <c r="D692" s="41"/>
      <c r="E692" s="41"/>
    </row>
    <row r="693" ht="15.75" hidden="1" customHeight="1">
      <c r="D693" s="41"/>
      <c r="E693" s="41"/>
    </row>
    <row r="694" ht="15.75" hidden="1" customHeight="1">
      <c r="D694" s="41"/>
      <c r="E694" s="41"/>
    </row>
    <row r="695" ht="15.75" hidden="1" customHeight="1">
      <c r="D695" s="41"/>
      <c r="E695" s="41"/>
    </row>
    <row r="696" ht="15.75" hidden="1" customHeight="1">
      <c r="D696" s="41"/>
      <c r="E696" s="41"/>
    </row>
    <row r="697" ht="15.75" hidden="1" customHeight="1">
      <c r="D697" s="41"/>
      <c r="E697" s="41"/>
    </row>
    <row r="698" ht="15.75" hidden="1" customHeight="1">
      <c r="D698" s="41"/>
      <c r="E698" s="41"/>
    </row>
    <row r="699" ht="15.75" hidden="1" customHeight="1">
      <c r="D699" s="41"/>
      <c r="E699" s="41"/>
    </row>
    <row r="700" ht="15.75" hidden="1" customHeight="1">
      <c r="D700" s="41"/>
      <c r="E700" s="41"/>
    </row>
    <row r="701" ht="15.75" hidden="1" customHeight="1">
      <c r="D701" s="41"/>
      <c r="E701" s="41"/>
    </row>
    <row r="702" ht="15.75" hidden="1" customHeight="1">
      <c r="D702" s="41"/>
      <c r="E702" s="41"/>
    </row>
    <row r="703" ht="15.75" hidden="1" customHeight="1">
      <c r="D703" s="41"/>
      <c r="E703" s="41"/>
    </row>
    <row r="704" ht="15.75" hidden="1" customHeight="1">
      <c r="D704" s="41"/>
      <c r="E704" s="41"/>
    </row>
    <row r="705" ht="15.75" hidden="1" customHeight="1">
      <c r="D705" s="41"/>
      <c r="E705" s="41"/>
    </row>
    <row r="706" ht="15.75" hidden="1" customHeight="1">
      <c r="D706" s="41"/>
      <c r="E706" s="41"/>
    </row>
    <row r="707" ht="15.75" hidden="1" customHeight="1">
      <c r="D707" s="41"/>
      <c r="E707" s="41"/>
    </row>
    <row r="708" ht="15.75" hidden="1" customHeight="1">
      <c r="D708" s="41"/>
      <c r="E708" s="41"/>
    </row>
    <row r="709" ht="15.75" hidden="1" customHeight="1">
      <c r="D709" s="41"/>
      <c r="E709" s="41"/>
    </row>
    <row r="710" ht="15.75" hidden="1" customHeight="1">
      <c r="D710" s="41"/>
      <c r="E710" s="41"/>
    </row>
    <row r="711" ht="15.75" hidden="1" customHeight="1">
      <c r="D711" s="41"/>
      <c r="E711" s="41"/>
    </row>
    <row r="712" ht="15.75" hidden="1" customHeight="1">
      <c r="D712" s="41"/>
      <c r="E712" s="41"/>
    </row>
    <row r="713" ht="15.75" hidden="1" customHeight="1">
      <c r="D713" s="41"/>
      <c r="E713" s="41"/>
    </row>
    <row r="714" ht="15.75" hidden="1" customHeight="1">
      <c r="D714" s="41"/>
      <c r="E714" s="41"/>
    </row>
    <row r="715" ht="15.75" hidden="1" customHeight="1">
      <c r="D715" s="41"/>
      <c r="E715" s="41"/>
    </row>
    <row r="716" ht="15.75" hidden="1" customHeight="1">
      <c r="D716" s="41"/>
      <c r="E716" s="41"/>
    </row>
    <row r="717" ht="15.75" hidden="1" customHeight="1">
      <c r="D717" s="41"/>
      <c r="E717" s="41"/>
    </row>
    <row r="718" ht="15.75" hidden="1" customHeight="1">
      <c r="D718" s="41"/>
      <c r="E718" s="41"/>
    </row>
    <row r="719" ht="15.75" hidden="1" customHeight="1">
      <c r="D719" s="41"/>
      <c r="E719" s="41"/>
    </row>
    <row r="720" ht="15.75" hidden="1" customHeight="1">
      <c r="D720" s="41"/>
      <c r="E720" s="41"/>
    </row>
    <row r="721" ht="15.75" hidden="1" customHeight="1">
      <c r="D721" s="41"/>
      <c r="E721" s="41"/>
    </row>
    <row r="722" ht="15.75" hidden="1" customHeight="1">
      <c r="D722" s="41"/>
      <c r="E722" s="41"/>
    </row>
    <row r="723" ht="15.75" hidden="1" customHeight="1">
      <c r="D723" s="41"/>
      <c r="E723" s="41"/>
    </row>
    <row r="724" ht="15.75" hidden="1" customHeight="1">
      <c r="D724" s="41"/>
      <c r="E724" s="41"/>
    </row>
    <row r="725" ht="15.75" hidden="1" customHeight="1">
      <c r="D725" s="41"/>
      <c r="E725" s="41"/>
    </row>
    <row r="726" ht="15.75" hidden="1" customHeight="1">
      <c r="D726" s="41"/>
      <c r="E726" s="41"/>
    </row>
    <row r="727" ht="15.75" hidden="1" customHeight="1">
      <c r="D727" s="41"/>
      <c r="E727" s="41"/>
    </row>
    <row r="728" ht="15.75" hidden="1" customHeight="1">
      <c r="D728" s="41"/>
      <c r="E728" s="41"/>
    </row>
    <row r="729" ht="15.75" hidden="1" customHeight="1">
      <c r="D729" s="41"/>
      <c r="E729" s="41"/>
    </row>
    <row r="730" ht="15.75" hidden="1" customHeight="1">
      <c r="D730" s="41"/>
      <c r="E730" s="41"/>
    </row>
    <row r="731" ht="15.75" hidden="1" customHeight="1">
      <c r="D731" s="41"/>
      <c r="E731" s="41"/>
    </row>
    <row r="732" ht="15.75" hidden="1" customHeight="1">
      <c r="D732" s="41"/>
      <c r="E732" s="41"/>
    </row>
    <row r="733" ht="15.75" hidden="1" customHeight="1">
      <c r="D733" s="41"/>
      <c r="E733" s="41"/>
    </row>
    <row r="734" ht="15.75" hidden="1" customHeight="1">
      <c r="D734" s="41"/>
      <c r="E734" s="41"/>
    </row>
    <row r="735" ht="15.75" hidden="1" customHeight="1">
      <c r="D735" s="41"/>
      <c r="E735" s="41"/>
    </row>
    <row r="736" ht="15.75" hidden="1" customHeight="1">
      <c r="D736" s="41"/>
      <c r="E736" s="41"/>
    </row>
    <row r="737" ht="15.75" hidden="1" customHeight="1">
      <c r="D737" s="41"/>
      <c r="E737" s="41"/>
    </row>
    <row r="738" ht="15.75" hidden="1" customHeight="1">
      <c r="D738" s="41"/>
      <c r="E738" s="41"/>
    </row>
    <row r="739" ht="15.75" hidden="1" customHeight="1">
      <c r="D739" s="41"/>
      <c r="E739" s="41"/>
    </row>
    <row r="740" ht="15.75" hidden="1" customHeight="1">
      <c r="D740" s="41"/>
      <c r="E740" s="41"/>
    </row>
    <row r="741" ht="15.75" hidden="1" customHeight="1">
      <c r="D741" s="41"/>
      <c r="E741" s="41"/>
    </row>
    <row r="742" ht="15.75" hidden="1" customHeight="1">
      <c r="D742" s="41"/>
      <c r="E742" s="41"/>
    </row>
    <row r="743" ht="15.75" hidden="1" customHeight="1">
      <c r="D743" s="41"/>
      <c r="E743" s="41"/>
    </row>
    <row r="744" ht="15.75" hidden="1" customHeight="1">
      <c r="D744" s="41"/>
      <c r="E744" s="41"/>
    </row>
    <row r="745" ht="15.75" hidden="1" customHeight="1">
      <c r="D745" s="41"/>
      <c r="E745" s="41"/>
    </row>
    <row r="746" ht="15.75" hidden="1" customHeight="1">
      <c r="D746" s="41"/>
      <c r="E746" s="41"/>
    </row>
    <row r="747" ht="15.75" hidden="1" customHeight="1">
      <c r="D747" s="41"/>
      <c r="E747" s="41"/>
    </row>
    <row r="748" ht="15.75" hidden="1" customHeight="1">
      <c r="D748" s="41"/>
      <c r="E748" s="41"/>
    </row>
    <row r="749" ht="15.75" hidden="1" customHeight="1">
      <c r="D749" s="41"/>
      <c r="E749" s="41"/>
    </row>
    <row r="750" ht="15.75" hidden="1" customHeight="1">
      <c r="D750" s="41"/>
      <c r="E750" s="41"/>
    </row>
    <row r="751" ht="15.75" hidden="1" customHeight="1">
      <c r="D751" s="41"/>
      <c r="E751" s="41"/>
    </row>
    <row r="752" ht="15.75" hidden="1" customHeight="1">
      <c r="D752" s="41"/>
      <c r="E752" s="41"/>
    </row>
    <row r="753" ht="15.75" hidden="1" customHeight="1">
      <c r="D753" s="41"/>
      <c r="E753" s="41"/>
    </row>
    <row r="754" ht="15.75" hidden="1" customHeight="1">
      <c r="D754" s="41"/>
      <c r="E754" s="41"/>
    </row>
    <row r="755" ht="15.75" hidden="1" customHeight="1">
      <c r="D755" s="41"/>
      <c r="E755" s="41"/>
    </row>
    <row r="756" ht="15.75" hidden="1" customHeight="1">
      <c r="D756" s="41"/>
      <c r="E756" s="41"/>
    </row>
    <row r="757" ht="15.75" hidden="1" customHeight="1">
      <c r="D757" s="41"/>
      <c r="E757" s="41"/>
    </row>
    <row r="758" ht="15.75" hidden="1" customHeight="1">
      <c r="D758" s="41"/>
      <c r="E758" s="41"/>
    </row>
    <row r="759" ht="15.75" hidden="1" customHeight="1">
      <c r="D759" s="41"/>
      <c r="E759" s="41"/>
    </row>
    <row r="760" ht="15.75" hidden="1" customHeight="1">
      <c r="D760" s="41"/>
      <c r="E760" s="41"/>
    </row>
    <row r="761" ht="15.75" hidden="1" customHeight="1">
      <c r="D761" s="41"/>
      <c r="E761" s="41"/>
    </row>
  </sheetData>
  <autoFilter ref="$A$2:$M$587">
    <filterColumn colId="1">
      <filters>
        <filter val="1"/>
      </filters>
    </filterColumn>
    <filterColumn colId="7">
      <filters>
        <filter val="6.00"/>
        <filter val="0.00"/>
        <filter val="1.78"/>
        <filter val="2.00"/>
        <filter val="1.00"/>
        <filter val="3.00"/>
      </filters>
    </filterColumn>
  </autoFilter>
  <customSheetViews>
    <customSheetView guid="{915D3681-C3A7-4C40-9AFC-A07EC7AAF3AC}" filter="1" showAutoFilter="1">
      <autoFilter ref="$C$2:$I$360"/>
    </customSheetView>
    <customSheetView guid="{25E59EAB-FE62-41B3-ABF0-A05F886F4980}" filter="1" showAutoFilter="1">
      <autoFilter ref="$C$2:$I$360"/>
    </customSheetView>
  </customSheetViews>
  <mergeCells count="3">
    <mergeCell ref="B1:C1"/>
    <mergeCell ref="H1:I1"/>
    <mergeCell ref="F2:H2"/>
  </mergeCells>
  <conditionalFormatting sqref="A3:A53 A57:A212 A225:A236 A243:A245 A255:A257 A267:A269 A279:A281 A336:A341 A345:A347 A351:A353 A357:A362 A378:A383 A402:A404 A408:A410 A423:A428 A432:A434 A438:A440 A444:A464 A471:A473 A519:A527 A534:A536 A564:A566 A573:A581 A585:A587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A1">
      <formula1>L!$A$1:$A$9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0"/>
    <col customWidth="1" min="2" max="2" width="4.75"/>
    <col customWidth="1" min="3" max="3" width="3.63"/>
    <col customWidth="1" min="4" max="4" width="3.0"/>
    <col customWidth="1" min="5" max="5" width="1.75"/>
    <col customWidth="1" min="6" max="6" width="1.88"/>
    <col customWidth="1" min="7" max="7" width="3.88"/>
    <col customWidth="1" min="8" max="8" width="1.75"/>
    <col customWidth="1" min="9" max="9" width="1.88"/>
    <col customWidth="1" min="10" max="10" width="3.75"/>
    <col customWidth="1" hidden="1" min="11" max="11" width="2.63"/>
    <col customWidth="1" hidden="1" min="12" max="12" width="4.88"/>
    <col customWidth="1" hidden="1" min="13" max="13" width="0.75"/>
    <col customWidth="1" hidden="1" min="14" max="14" width="4.88"/>
    <col customWidth="1" hidden="1" min="15" max="15" width="0.63"/>
    <col customWidth="1" hidden="1" min="16" max="16" width="5.13"/>
    <col customWidth="1" hidden="1" min="17" max="27" width="12.63"/>
  </cols>
  <sheetData>
    <row r="1" ht="12.0" customHeight="1">
      <c r="A1" s="2">
        <v>31.0</v>
      </c>
      <c r="B1" s="2"/>
      <c r="C1" s="2">
        <v>6.0</v>
      </c>
      <c r="D1" s="2">
        <v>100.0</v>
      </c>
      <c r="E1" s="2"/>
      <c r="F1" s="2"/>
      <c r="G1" s="5">
        <f>D1*A2/100+D2*D1/100</f>
        <v>25</v>
      </c>
      <c r="H1" s="2"/>
      <c r="I1" s="5"/>
      <c r="J1" s="5"/>
      <c r="K1" s="5"/>
      <c r="L1" s="5"/>
      <c r="M1" s="5"/>
      <c r="N1" s="5"/>
      <c r="O1" s="5"/>
      <c r="P1" s="5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0" customHeight="1">
      <c r="A2" s="6">
        <v>5.0</v>
      </c>
      <c r="B2" s="2"/>
      <c r="C2" s="2">
        <f>ROUND(D1/C1,2)</f>
        <v>16.67</v>
      </c>
      <c r="D2" s="2">
        <v>20.0</v>
      </c>
      <c r="E2" s="2" t="s">
        <v>38</v>
      </c>
      <c r="F2" s="5" t="s">
        <v>39</v>
      </c>
      <c r="G2" s="5" t="s">
        <v>40</v>
      </c>
      <c r="H2" s="2" t="s">
        <v>38</v>
      </c>
      <c r="I2" s="5" t="s">
        <v>39</v>
      </c>
      <c r="J2" s="5" t="s">
        <v>40</v>
      </c>
      <c r="K2" s="5"/>
      <c r="L2" s="5"/>
      <c r="M2" s="5"/>
      <c r="N2" s="5"/>
      <c r="O2" s="5"/>
      <c r="P2" s="5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0" customHeight="1">
      <c r="A3" s="2">
        <v>1.0</v>
      </c>
      <c r="B3" s="2">
        <f>IF(A3&gt;$C$1,0,(D1+D3-C3))</f>
        <v>110.88</v>
      </c>
      <c r="C3" s="2">
        <f>IF(A3&gt;$C$1,0,$C$2)-G1</f>
        <v>-8.33</v>
      </c>
      <c r="D3" s="2">
        <f>ROUND(D1*A1*30/36500,2)</f>
        <v>2.55</v>
      </c>
      <c r="E3" s="2">
        <v>1.0</v>
      </c>
      <c r="F3" s="2">
        <v>0.0</v>
      </c>
      <c r="G3" s="9"/>
      <c r="H3" s="2">
        <v>1.0</v>
      </c>
      <c r="I3" s="2">
        <v>25.0</v>
      </c>
      <c r="J3" s="9"/>
      <c r="K3" s="2"/>
      <c r="L3" s="2"/>
      <c r="M3" s="2"/>
      <c r="N3" s="2"/>
      <c r="O3" s="2">
        <v>60.75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0" customHeight="1">
      <c r="A4" s="2">
        <v>2.0</v>
      </c>
      <c r="B4" s="2">
        <f t="shared" ref="B4:B20" si="1">IF(A4&gt;$C$1,0,(B3+D4-C4))</f>
        <v>97.04</v>
      </c>
      <c r="C4" s="2">
        <f t="shared" ref="C4:C20" si="2">IF(A4&gt;$C$1,0,$C$2)</f>
        <v>16.67</v>
      </c>
      <c r="D4" s="2">
        <f t="shared" ref="D4:D20" si="3">IF(A4&gt;$C$1,0,ROUND(B3*$A$1*30/36500,2))</f>
        <v>2.83</v>
      </c>
      <c r="E4" s="2">
        <v>3.0</v>
      </c>
      <c r="F4" s="2">
        <v>0.0</v>
      </c>
      <c r="G4" s="9"/>
      <c r="H4" s="2">
        <v>3.0</v>
      </c>
      <c r="I4" s="2">
        <v>25.0</v>
      </c>
      <c r="J4" s="9"/>
      <c r="K4" s="2"/>
      <c r="L4" s="2"/>
      <c r="M4" s="2"/>
      <c r="N4" s="2"/>
      <c r="O4" s="2">
        <v>72.6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0" customHeight="1">
      <c r="A5" s="2">
        <v>3.0</v>
      </c>
      <c r="B5" s="2">
        <f t="shared" si="1"/>
        <v>82.84</v>
      </c>
      <c r="C5" s="2">
        <f t="shared" si="2"/>
        <v>16.67</v>
      </c>
      <c r="D5" s="2">
        <f t="shared" si="3"/>
        <v>2.47</v>
      </c>
      <c r="E5" s="2">
        <v>6.0</v>
      </c>
      <c r="F5" s="2">
        <v>0.0</v>
      </c>
      <c r="G5" s="9"/>
      <c r="H5" s="2">
        <v>6.0</v>
      </c>
      <c r="I5" s="2">
        <v>25.0</v>
      </c>
      <c r="J5" s="9"/>
      <c r="K5" s="2"/>
      <c r="L5" s="2"/>
      <c r="M5" s="2"/>
      <c r="N5" s="2"/>
      <c r="O5" s="2">
        <v>67.2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0" customHeight="1">
      <c r="A6" s="2">
        <v>4.0</v>
      </c>
      <c r="B6" s="2">
        <f t="shared" si="1"/>
        <v>68.28</v>
      </c>
      <c r="C6" s="2">
        <f t="shared" si="2"/>
        <v>16.67</v>
      </c>
      <c r="D6" s="2">
        <f t="shared" si="3"/>
        <v>2.11</v>
      </c>
      <c r="E6" s="2">
        <v>9.0</v>
      </c>
      <c r="F6" s="2">
        <v>0.0</v>
      </c>
      <c r="G6" s="9"/>
      <c r="H6" s="2">
        <v>9.0</v>
      </c>
      <c r="I6" s="2">
        <v>25.0</v>
      </c>
      <c r="J6" s="9"/>
      <c r="K6" s="2"/>
      <c r="L6" s="2"/>
      <c r="M6" s="2"/>
      <c r="N6" s="2"/>
      <c r="O6" s="2">
        <v>87.12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0" customHeight="1">
      <c r="A7" s="2">
        <v>5.0</v>
      </c>
      <c r="B7" s="2">
        <f t="shared" si="1"/>
        <v>53.35</v>
      </c>
      <c r="C7" s="2">
        <f t="shared" si="2"/>
        <v>16.67</v>
      </c>
      <c r="D7" s="2">
        <f t="shared" si="3"/>
        <v>1.74</v>
      </c>
      <c r="E7" s="2">
        <v>12.0</v>
      </c>
      <c r="F7" s="2">
        <v>0.0</v>
      </c>
      <c r="G7" s="9"/>
      <c r="H7" s="2">
        <v>12.0</v>
      </c>
      <c r="I7" s="2">
        <v>25.0</v>
      </c>
      <c r="J7" s="9"/>
      <c r="K7" s="2"/>
      <c r="L7" s="2"/>
      <c r="M7" s="2"/>
      <c r="N7" s="2"/>
      <c r="O7" s="2">
        <v>133.81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0" customHeight="1">
      <c r="A8" s="2">
        <v>6.0</v>
      </c>
      <c r="B8" s="2">
        <f t="shared" si="1"/>
        <v>38.04</v>
      </c>
      <c r="C8" s="2">
        <f t="shared" si="2"/>
        <v>16.67</v>
      </c>
      <c r="D8" s="2">
        <f t="shared" si="3"/>
        <v>1.36</v>
      </c>
      <c r="E8" s="2">
        <v>18.0</v>
      </c>
      <c r="F8" s="2">
        <v>0.0</v>
      </c>
      <c r="G8" s="9"/>
      <c r="H8" s="2">
        <v>18.0</v>
      </c>
      <c r="I8" s="2">
        <v>25.0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0" customHeight="1">
      <c r="A9" s="2">
        <v>7.0</v>
      </c>
      <c r="B9" s="2">
        <f t="shared" si="1"/>
        <v>0</v>
      </c>
      <c r="C9" s="2">
        <f t="shared" si="2"/>
        <v>0</v>
      </c>
      <c r="D9" s="2">
        <f t="shared" si="3"/>
        <v>0</v>
      </c>
      <c r="E9" s="2">
        <v>1.0</v>
      </c>
      <c r="F9" s="2">
        <v>10.0</v>
      </c>
      <c r="G9" s="9"/>
      <c r="H9" s="2">
        <v>1.0</v>
      </c>
      <c r="I9" s="2">
        <v>30.0</v>
      </c>
      <c r="J9" s="9">
        <v>62.45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0" customHeight="1">
      <c r="A10" s="2">
        <v>8.0</v>
      </c>
      <c r="B10" s="2">
        <f t="shared" si="1"/>
        <v>0</v>
      </c>
      <c r="C10" s="2">
        <f t="shared" si="2"/>
        <v>0</v>
      </c>
      <c r="D10" s="2">
        <f t="shared" si="3"/>
        <v>0</v>
      </c>
      <c r="E10" s="2">
        <v>3.0</v>
      </c>
      <c r="F10" s="2">
        <v>10.0</v>
      </c>
      <c r="G10" s="9"/>
      <c r="H10" s="2">
        <v>3.0</v>
      </c>
      <c r="I10" s="2">
        <v>30.0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0" customHeight="1">
      <c r="A11" s="2">
        <v>9.0</v>
      </c>
      <c r="B11" s="2">
        <f t="shared" si="1"/>
        <v>0</v>
      </c>
      <c r="C11" s="2">
        <f t="shared" si="2"/>
        <v>0</v>
      </c>
      <c r="D11" s="2">
        <f t="shared" si="3"/>
        <v>0</v>
      </c>
      <c r="E11" s="2">
        <v>6.0</v>
      </c>
      <c r="F11" s="2">
        <v>10.0</v>
      </c>
      <c r="G11" s="9"/>
      <c r="H11" s="2">
        <v>6.0</v>
      </c>
      <c r="I11" s="2">
        <v>30.0</v>
      </c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0" customHeight="1">
      <c r="A12" s="2">
        <v>10.0</v>
      </c>
      <c r="B12" s="2">
        <f t="shared" si="1"/>
        <v>0</v>
      </c>
      <c r="C12" s="2">
        <f t="shared" si="2"/>
        <v>0</v>
      </c>
      <c r="D12" s="2">
        <f t="shared" si="3"/>
        <v>0</v>
      </c>
      <c r="E12" s="2">
        <v>9.0</v>
      </c>
      <c r="F12" s="2">
        <v>10.0</v>
      </c>
      <c r="G12" s="9"/>
      <c r="H12" s="2">
        <v>9.0</v>
      </c>
      <c r="I12" s="2">
        <v>30.0</v>
      </c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0" customHeight="1">
      <c r="A13" s="2">
        <v>11.0</v>
      </c>
      <c r="B13" s="2">
        <f t="shared" si="1"/>
        <v>0</v>
      </c>
      <c r="C13" s="2">
        <f t="shared" si="2"/>
        <v>0</v>
      </c>
      <c r="D13" s="2">
        <f t="shared" si="3"/>
        <v>0</v>
      </c>
      <c r="E13" s="2">
        <v>12.0</v>
      </c>
      <c r="F13" s="2">
        <v>10.0</v>
      </c>
      <c r="G13" s="9"/>
      <c r="H13" s="2">
        <v>12.0</v>
      </c>
      <c r="I13" s="2">
        <v>30.0</v>
      </c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0" customHeight="1">
      <c r="A14" s="2">
        <v>12.0</v>
      </c>
      <c r="B14" s="2">
        <f t="shared" si="1"/>
        <v>0</v>
      </c>
      <c r="C14" s="2">
        <f t="shared" si="2"/>
        <v>0</v>
      </c>
      <c r="D14" s="2">
        <f t="shared" si="3"/>
        <v>0</v>
      </c>
      <c r="E14" s="2">
        <v>18.0</v>
      </c>
      <c r="F14" s="2">
        <v>10.0</v>
      </c>
      <c r="G14" s="9"/>
      <c r="H14" s="2">
        <v>18.0</v>
      </c>
      <c r="I14" s="2">
        <v>30.0</v>
      </c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0" customHeight="1">
      <c r="A15" s="2">
        <v>13.0</v>
      </c>
      <c r="B15" s="2">
        <f t="shared" si="1"/>
        <v>0</v>
      </c>
      <c r="C15" s="2">
        <f t="shared" si="2"/>
        <v>0</v>
      </c>
      <c r="D15" s="2">
        <f t="shared" si="3"/>
        <v>0</v>
      </c>
      <c r="E15" s="2">
        <v>1.0</v>
      </c>
      <c r="F15" s="2">
        <v>20.0</v>
      </c>
      <c r="G15" s="9"/>
      <c r="H15" s="2">
        <v>1.0</v>
      </c>
      <c r="I15" s="2">
        <v>50.0</v>
      </c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0" customHeight="1">
      <c r="A16" s="2">
        <v>14.0</v>
      </c>
      <c r="B16" s="2">
        <f t="shared" si="1"/>
        <v>0</v>
      </c>
      <c r="C16" s="2">
        <f t="shared" si="2"/>
        <v>0</v>
      </c>
      <c r="D16" s="2">
        <f t="shared" si="3"/>
        <v>0</v>
      </c>
      <c r="E16" s="2">
        <v>3.0</v>
      </c>
      <c r="F16" s="2">
        <v>20.0</v>
      </c>
      <c r="G16" s="9"/>
      <c r="H16" s="2">
        <v>3.0</v>
      </c>
      <c r="I16" s="2">
        <v>50.0</v>
      </c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0" customHeight="1">
      <c r="A17" s="2">
        <v>15.0</v>
      </c>
      <c r="B17" s="2">
        <f t="shared" si="1"/>
        <v>0</v>
      </c>
      <c r="C17" s="2">
        <f t="shared" si="2"/>
        <v>0</v>
      </c>
      <c r="D17" s="2">
        <f t="shared" si="3"/>
        <v>0</v>
      </c>
      <c r="E17" s="2">
        <v>6.0</v>
      </c>
      <c r="F17" s="2">
        <v>20.0</v>
      </c>
      <c r="G17" s="9">
        <v>61.96</v>
      </c>
      <c r="H17" s="2">
        <v>6.0</v>
      </c>
      <c r="I17" s="2">
        <v>50.0</v>
      </c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0" customHeight="1">
      <c r="A18" s="2">
        <v>16.0</v>
      </c>
      <c r="B18" s="2">
        <f t="shared" si="1"/>
        <v>0</v>
      </c>
      <c r="C18" s="2">
        <f t="shared" si="2"/>
        <v>0</v>
      </c>
      <c r="D18" s="2">
        <f t="shared" si="3"/>
        <v>0</v>
      </c>
      <c r="E18" s="2">
        <v>9.0</v>
      </c>
      <c r="F18" s="2">
        <v>20.0</v>
      </c>
      <c r="G18" s="9"/>
      <c r="H18" s="2">
        <v>9.0</v>
      </c>
      <c r="I18" s="2">
        <v>50.0</v>
      </c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0" customHeight="1">
      <c r="A19" s="2">
        <v>17.0</v>
      </c>
      <c r="B19" s="2">
        <f t="shared" si="1"/>
        <v>0</v>
      </c>
      <c r="C19" s="2">
        <f t="shared" si="2"/>
        <v>0</v>
      </c>
      <c r="D19" s="2">
        <f t="shared" si="3"/>
        <v>0</v>
      </c>
      <c r="E19" s="2">
        <v>12.0</v>
      </c>
      <c r="F19" s="2">
        <v>20.0</v>
      </c>
      <c r="G19" s="9"/>
      <c r="H19" s="2">
        <v>12.0</v>
      </c>
      <c r="I19" s="2">
        <v>50.0</v>
      </c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0" customHeight="1">
      <c r="A20" s="2">
        <v>18.0</v>
      </c>
      <c r="B20" s="2">
        <f t="shared" si="1"/>
        <v>0</v>
      </c>
      <c r="C20" s="2">
        <f t="shared" si="2"/>
        <v>0</v>
      </c>
      <c r="D20" s="2">
        <f t="shared" si="3"/>
        <v>0</v>
      </c>
      <c r="E20" s="2">
        <v>18.0</v>
      </c>
      <c r="F20" s="2">
        <v>20.0</v>
      </c>
      <c r="G20" s="9"/>
      <c r="H20" s="2">
        <v>18.0</v>
      </c>
      <c r="I20" s="2">
        <v>50.0</v>
      </c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hidden="1" customHeight="1">
      <c r="A21" s="2">
        <v>19.0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hidden="1" customHeight="1">
      <c r="A22" s="2">
        <v>20.0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hidden="1" customHeight="1">
      <c r="A23" s="2">
        <v>21.0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hidden="1" customHeight="1">
      <c r="A24" s="2">
        <v>22.0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hidden="1" customHeight="1">
      <c r="A25" s="2">
        <v>23.0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hidden="1" customHeight="1">
      <c r="A26" s="2">
        <v>24.0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hidden="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hidden="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hidden="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hidden="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hidden="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hidden="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hidden="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hidden="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hidden="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hidden="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hidden="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hidden="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hidden="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hidden="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hidden="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hidden="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hidden="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hidden="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hidden="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hidden="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hidden="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hidden="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hidden="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hidden="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hidden="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hidden="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hidden="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hidden="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hidden="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hidden="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hidden="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hidden="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hidden="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hidden="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hidden="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hidden="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hidden="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hidden="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hidden="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hidden="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hidden="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hidden="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hidden="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hidden="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hidden="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hidden="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hidden="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hidden="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hidden="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hidden="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hidden="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hidden="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hidden="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hidden="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hidden="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hidden="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hidden="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hidden="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hidden="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hidden="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hidden="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hidden="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hidden="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hidden="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hidden="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hidden="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hidden="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hidden="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hidden="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hidden="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hidden="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hidden="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hidden="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hidden="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hidden="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hidden="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hidden="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hidden="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hidden="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hidden="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hidden="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hidden="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hidden="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hidden="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hidden="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hidden="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hidden="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hidden="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hidden="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hidden="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hidden="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hidden="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hidden="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hidden="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hidden="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hidden="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hidden="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hidden="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hidden="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hidden="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hidden="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hidden="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hidden="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hidden="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hidden="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hidden="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hidden="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hidden="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hidden="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hidden="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hidden="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hidden="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hidden="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hidden="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hidden="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hidden="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hidden="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hidden="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hidden="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hidden="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hidden="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hidden="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hidden="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hidden="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hidden="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hidden="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hidden="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hidden="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hidden="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hidden="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hidden="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hidden="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hidden="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hidden="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hidden="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hidden="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hidden="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hidden="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hidden="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hidden="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hidden="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hidden="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hidden="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hidden="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hidden="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hidden="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hidden="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hidden="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hidden="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hidden="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hidden="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hidden="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hidden="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hidden="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hidden="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hidden="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hidden="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hidden="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hidden="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hidden="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hidden="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hidden="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hidden="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hidden="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hidden="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hidden="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hidden="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hidden="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hidden="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hidden="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hidden="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hidden="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hidden="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hidden="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hidden="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hidden="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hidden="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hidden="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hidden="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hidden="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7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11</v>
      </c>
    </row>
    <row r="4">
      <c r="A4" s="1" t="s">
        <v>12</v>
      </c>
      <c r="B4" s="1" t="s">
        <v>13</v>
      </c>
    </row>
    <row r="5">
      <c r="A5" s="1" t="s">
        <v>14</v>
      </c>
      <c r="B5" s="1" t="s">
        <v>15</v>
      </c>
    </row>
    <row r="6">
      <c r="B6" s="1" t="s">
        <v>16</v>
      </c>
    </row>
    <row r="7">
      <c r="B7" s="1" t="s">
        <v>19</v>
      </c>
    </row>
    <row r="8">
      <c r="A8" s="1" t="s">
        <v>21</v>
      </c>
      <c r="B8" s="1" t="s">
        <v>22</v>
      </c>
    </row>
    <row r="9">
      <c r="A9" s="1" t="s">
        <v>24</v>
      </c>
      <c r="B9" s="1" t="s">
        <v>25</v>
      </c>
    </row>
    <row r="10">
      <c r="B10" s="1" t="s">
        <v>27</v>
      </c>
    </row>
  </sheetData>
  <drawing r:id="rId1"/>
</worksheet>
</file>